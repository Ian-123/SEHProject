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rizonastateu-my.sharepoint.com/personal/idnjugun_sundevils_asu_edu/Documents/Desktop/Unit_PropertyCard_App/"/>
    </mc:Choice>
  </mc:AlternateContent>
  <xr:revisionPtr revIDLastSave="124" documentId="11_2A59CD0FA014C33486818DF35BF6893D2B52C95B" xr6:coauthVersionLast="47" xr6:coauthVersionMax="47" xr10:uidLastSave="{609A4DA1-88FA-4336-BAB3-719624FEE8AF}"/>
  <bookViews>
    <workbookView xWindow="-108" yWindow="-108" windowWidth="23256" windowHeight="13896" activeTab="2" xr2:uid="{00000000-000D-0000-FFFF-FFFF00000000}"/>
  </bookViews>
  <sheets>
    <sheet name="Properties" sheetId="1" r:id="rId1"/>
    <sheet name="Sheet1" sheetId="6" r:id="rId2"/>
    <sheet name="Transactions" sheetId="2" r:id="rId3"/>
    <sheet name="Sheet2" sheetId="7" r:id="rId4"/>
    <sheet name="AcquisitionStrategy" sheetId="3" r:id="rId5"/>
    <sheet name="Documents" sheetId="4" r:id="rId6"/>
    <sheet name="Notes" sheetId="5" r:id="rId7"/>
  </sheets>
  <definedNames>
    <definedName name="_xlchart.v1.0" hidden="1">Sheet1!$A$2:$A$394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1" i="1" l="1"/>
  <c r="T141" i="1"/>
  <c r="U140" i="1"/>
  <c r="T140" i="1"/>
  <c r="U139" i="1"/>
  <c r="T139" i="1"/>
  <c r="U138" i="1"/>
  <c r="T138" i="1"/>
  <c r="U137" i="1"/>
  <c r="T137" i="1"/>
  <c r="U136" i="1"/>
  <c r="T136" i="1"/>
  <c r="U135" i="1"/>
  <c r="T135" i="1"/>
  <c r="U134" i="1"/>
  <c r="T134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T119" i="1"/>
  <c r="U119" i="1"/>
  <c r="T120" i="1"/>
  <c r="U120" i="1"/>
  <c r="T121" i="1"/>
  <c r="U121" i="1"/>
  <c r="T122" i="1"/>
  <c r="U122" i="1"/>
  <c r="T123" i="1"/>
  <c r="U123" i="1"/>
  <c r="T124" i="1"/>
  <c r="U124" i="1"/>
  <c r="T125" i="1"/>
  <c r="U125" i="1"/>
  <c r="T126" i="1"/>
  <c r="U126" i="1"/>
  <c r="T127" i="1"/>
  <c r="U127" i="1"/>
  <c r="T128" i="1"/>
  <c r="U128" i="1"/>
  <c r="T129" i="1"/>
  <c r="U129" i="1"/>
  <c r="T130" i="1"/>
  <c r="U130" i="1"/>
  <c r="T131" i="1"/>
  <c r="U131" i="1"/>
  <c r="T132" i="1"/>
  <c r="U132" i="1"/>
  <c r="T133" i="1"/>
  <c r="U133" i="1"/>
  <c r="T32" i="1"/>
  <c r="U32" i="1"/>
</calcChain>
</file>

<file path=xl/sharedStrings.xml><?xml version="1.0" encoding="utf-8"?>
<sst xmlns="http://schemas.openxmlformats.org/spreadsheetml/2006/main" count="5474" uniqueCount="1162">
  <si>
    <t>parcel_address</t>
  </si>
  <si>
    <t>neighborhood</t>
  </si>
  <si>
    <t>zip_code</t>
  </si>
  <si>
    <t>city</t>
  </si>
  <si>
    <t>county</t>
  </si>
  <si>
    <t>state</t>
  </si>
  <si>
    <t>organization</t>
  </si>
  <si>
    <t>msa</t>
  </si>
  <si>
    <t>unit_number</t>
  </si>
  <si>
    <t>new_construction</t>
  </si>
  <si>
    <t>rehabilitation</t>
  </si>
  <si>
    <t>year_built</t>
  </si>
  <si>
    <t>unit_type</t>
  </si>
  <si>
    <t>square_footage</t>
  </si>
  <si>
    <t>bedrooms</t>
  </si>
  <si>
    <t>bathrooms</t>
  </si>
  <si>
    <t>other_features</t>
  </si>
  <si>
    <t>latitude</t>
  </si>
  <si>
    <t>longitude</t>
  </si>
  <si>
    <t>1339 E Hatcher Dr</t>
  </si>
  <si>
    <t>Flagstaff</t>
  </si>
  <si>
    <t>Coconino</t>
  </si>
  <si>
    <t>Arizona</t>
  </si>
  <si>
    <t>City of Flagstaff</t>
  </si>
  <si>
    <t>Yes</t>
  </si>
  <si>
    <t>Multi-family: Duplex, 4-plex</t>
  </si>
  <si>
    <t>1363 E Hatcher Dr</t>
  </si>
  <si>
    <t>Single family (attached; e.g., townhome)</t>
  </si>
  <si>
    <t>2 Garage</t>
  </si>
  <si>
    <t>1387 E Scarlet Dr</t>
  </si>
  <si>
    <t>1400 E Mackenzie Dr</t>
  </si>
  <si>
    <t>1429 E Mackenzie Dr</t>
  </si>
  <si>
    <t>1472 E Russ Way</t>
  </si>
  <si>
    <t>1509 E Helen Way</t>
  </si>
  <si>
    <t>Multi-family (mid-scale): 5-25 unit</t>
  </si>
  <si>
    <t>1576 E Sejarez Way</t>
  </si>
  <si>
    <t>302 S O'Leary St</t>
  </si>
  <si>
    <t>Single family (detached)</t>
  </si>
  <si>
    <t>2201 E Felice Ave</t>
  </si>
  <si>
    <t>2209 E Felice Ave</t>
  </si>
  <si>
    <t>2217 E Felice Ave</t>
  </si>
  <si>
    <t>2302 N Izabel St</t>
  </si>
  <si>
    <t>2310 N Izabel St</t>
  </si>
  <si>
    <t>2318 N Izabel St</t>
  </si>
  <si>
    <t>2326 N Izabel St</t>
  </si>
  <si>
    <t>2334 N Izabel St</t>
  </si>
  <si>
    <t>2342 N Izabel St</t>
  </si>
  <si>
    <t>215 S O'Leary St</t>
  </si>
  <si>
    <t>Unit 1</t>
  </si>
  <si>
    <t>217 S O'Leary St</t>
  </si>
  <si>
    <t>Unit 2</t>
  </si>
  <si>
    <t>2350 N Izabel St</t>
  </si>
  <si>
    <t>2366 N Izabel St</t>
  </si>
  <si>
    <t>2382 N Izabel St</t>
  </si>
  <si>
    <t>2966 W Putnam Dr</t>
  </si>
  <si>
    <t>2817 W Alamo Dr</t>
  </si>
  <si>
    <t>2761 W Windtree Dr</t>
  </si>
  <si>
    <t>2965 W Putnam Dr</t>
  </si>
  <si>
    <t>3001 E Butler Ave</t>
  </si>
  <si>
    <t>Unit 37</t>
  </si>
  <si>
    <t>1650 E Ponderosa Pkwy</t>
  </si>
  <si>
    <t>112</t>
  </si>
  <si>
    <t>Unit 112</t>
  </si>
  <si>
    <t>1651 E Ponderosa Pkwy</t>
  </si>
  <si>
    <t>203</t>
  </si>
  <si>
    <t>Unit 203</t>
  </si>
  <si>
    <t>1400 E Towhee</t>
  </si>
  <si>
    <t>Tucson</t>
  </si>
  <si>
    <t>Pima</t>
  </si>
  <si>
    <t>Pima County Community Land Trust</t>
  </si>
  <si>
    <t>No</t>
  </si>
  <si>
    <t>1370 E Pewit</t>
  </si>
  <si>
    <t>1423 N Riverview</t>
  </si>
  <si>
    <t>1427 N Riverview</t>
  </si>
  <si>
    <t>1454 W Bronte</t>
  </si>
  <si>
    <t>1488 W Argyle</t>
  </si>
  <si>
    <t>1502 N Yavapai St</t>
  </si>
  <si>
    <t>1500 W Lama Drive</t>
  </si>
  <si>
    <t>1504 N Yavapai St</t>
  </si>
  <si>
    <t>1503 W Bloomfield</t>
  </si>
  <si>
    <t>1506 N Yavapai St</t>
  </si>
  <si>
    <t>1507 W Gardner</t>
  </si>
  <si>
    <t>1516 W Delaware Street</t>
  </si>
  <si>
    <t>1516 W Greenlee</t>
  </si>
  <si>
    <t>1626 W Gaffer Place</t>
  </si>
  <si>
    <t>1651 W Houchin Way</t>
  </si>
  <si>
    <t>1589 W Bean Tree Lane</t>
  </si>
  <si>
    <t>1658 W Houchin Way</t>
  </si>
  <si>
    <t>1675 E St Thomas</t>
  </si>
  <si>
    <t>1709 W Ransom Oaks</t>
  </si>
  <si>
    <t>1796 W Chardonnay</t>
  </si>
  <si>
    <t>1721 W Re de Fleuve</t>
  </si>
  <si>
    <t>1929 W Horn Mesa</t>
  </si>
  <si>
    <t>1898 W Acorn Way</t>
  </si>
  <si>
    <t>1822 N Silver Mountain Place</t>
  </si>
  <si>
    <t>1838 N Silver Mountain Place</t>
  </si>
  <si>
    <t>1932 W Nava Drive</t>
  </si>
  <si>
    <t>1961 W Burgundy</t>
  </si>
  <si>
    <t>1983 W Cabernet</t>
  </si>
  <si>
    <t>1948 W Bagley Way</t>
  </si>
  <si>
    <t>2102 E Higland Drive</t>
  </si>
  <si>
    <t>2044 E Calle Sierra Del Manatial</t>
  </si>
  <si>
    <t>2143 W Painted Sunset Circle</t>
  </si>
  <si>
    <t>2185 W Splitwood Place</t>
  </si>
  <si>
    <t>2217 E Canada Street</t>
  </si>
  <si>
    <t>2251 E Calle Arroyo Lindo</t>
  </si>
  <si>
    <t>2320 W Vereda Amarillo</t>
  </si>
  <si>
    <t>2214 W Silverbell Oasis Way</t>
  </si>
  <si>
    <t>2323 E Montana</t>
  </si>
  <si>
    <t>2537 E Knightsbridge</t>
  </si>
  <si>
    <t>2713 E Vuelta Rio Viejo</t>
  </si>
  <si>
    <t>240 W Placita Casas Bonitas</t>
  </si>
  <si>
    <t>2720 E Liverpool Drive</t>
  </si>
  <si>
    <t>2991 E Via Genovesa</t>
  </si>
  <si>
    <t>3014 E Via Genovesa</t>
  </si>
  <si>
    <t>2971 S Pantano Edge Drive</t>
  </si>
  <si>
    <t>2918 N Mountain Creek Way</t>
  </si>
  <si>
    <t>3138 W Avenida Isabel</t>
  </si>
  <si>
    <t>3241 E Halcyon Street</t>
  </si>
  <si>
    <t>3141 W Avenida Isabel</t>
  </si>
  <si>
    <t>3411 S Fairbanks</t>
  </si>
  <si>
    <t>3547W Avenida Obregon</t>
  </si>
  <si>
    <t>3721 E Desert Wash Court</t>
  </si>
  <si>
    <t>4318 E Mesquite Desert Trail</t>
  </si>
  <si>
    <t>4881 E Alabacete</t>
  </si>
  <si>
    <t>4680 S Valley Road</t>
  </si>
  <si>
    <t>4369 E Ocotillo Desert Trail</t>
  </si>
  <si>
    <t>5003 S Aleppo Drive</t>
  </si>
  <si>
    <t>5181 S Livingston</t>
  </si>
  <si>
    <t>5220 S Via Noche Buena</t>
  </si>
  <si>
    <t>5217 E 25th Street</t>
  </si>
  <si>
    <t>5149 S Lavender Hills Lane</t>
  </si>
  <si>
    <t>5234 S Mallard</t>
  </si>
  <si>
    <t>5429 S Royal Richmond</t>
  </si>
  <si>
    <t>5275 S Newcastle Court</t>
  </si>
  <si>
    <t>5457 W Wembly</t>
  </si>
  <si>
    <t>5533 S Morris Circle</t>
  </si>
  <si>
    <t>5556 S Via Guayaquil</t>
  </si>
  <si>
    <t>5801 S Oaklands Drive</t>
  </si>
  <si>
    <t>5556 S Swires Rd</t>
  </si>
  <si>
    <t>5971 S Oaklands Drive</t>
  </si>
  <si>
    <t>6022 S Galiuro</t>
  </si>
  <si>
    <t>5990 S Blucher Drive</t>
  </si>
  <si>
    <t>5984 S Nantac Rim Dr</t>
  </si>
  <si>
    <t>6213 S Earp Wash Lane</t>
  </si>
  <si>
    <t>6108 E Earp Wash Lane</t>
  </si>
  <si>
    <t>6261 E Stone Chat Drive</t>
  </si>
  <si>
    <t>6261 S Hopdown</t>
  </si>
  <si>
    <t>6079 Avenue de la Chandelle</t>
  </si>
  <si>
    <t>6273 S Earp Wash Lane</t>
  </si>
  <si>
    <t>6301 E Calle Herculo</t>
  </si>
  <si>
    <t>6290 S High Hope Lane</t>
  </si>
  <si>
    <t>6303 S Sunview Way</t>
  </si>
  <si>
    <t>6328 S Bright Sun</t>
  </si>
  <si>
    <t>6334 E Calle Herculo</t>
  </si>
  <si>
    <t>6406 S Bright Sun</t>
  </si>
  <si>
    <t>6418 E Sage Stone</t>
  </si>
  <si>
    <t>7031 S Harrier Loop</t>
  </si>
  <si>
    <t>6620 S 10th Ave</t>
  </si>
  <si>
    <t>6290 S Avenida de la Chadelle</t>
  </si>
  <si>
    <t>6620 S 10th Avenue</t>
  </si>
  <si>
    <t>7109 S Vuelta Silueta</t>
  </si>
  <si>
    <t>7828 Hidden Places Loop</t>
  </si>
  <si>
    <t>7217 E Eastview Dr</t>
  </si>
  <si>
    <t>7423 E 24th Street</t>
  </si>
  <si>
    <t>8083 E Cabinet St</t>
  </si>
  <si>
    <t>898 E Vuelta Suave</t>
  </si>
  <si>
    <t>906 E Vuelta Suave</t>
  </si>
  <si>
    <t>902 W Calle Collado</t>
  </si>
  <si>
    <t>9141 E 39th</t>
  </si>
  <si>
    <t>915 W Franklin St</t>
  </si>
  <si>
    <t>9425 E Watson Drive</t>
  </si>
  <si>
    <t>3241 E Halcyon Place</t>
  </si>
  <si>
    <t>5181 S Livingston Dr</t>
  </si>
  <si>
    <t>5231 S Via Noche Buena</t>
  </si>
  <si>
    <t>1642 W Houchin Way</t>
  </si>
  <si>
    <t>890 E Vuelta Suave</t>
  </si>
  <si>
    <t>6106  S Earp Wash Lane</t>
  </si>
  <si>
    <t>915 W Franklin</t>
  </si>
  <si>
    <t>5181 S Livingstone Dr</t>
  </si>
  <si>
    <t>1 S 130th Place</t>
  </si>
  <si>
    <t>Chandler</t>
  </si>
  <si>
    <t>Maricopa</t>
  </si>
  <si>
    <t>Newtown Community Development Corporation</t>
  </si>
  <si>
    <t>2/Carport</t>
  </si>
  <si>
    <t>10249 E Capri Ave</t>
  </si>
  <si>
    <t>Mesa</t>
  </si>
  <si>
    <t>2/Attached</t>
  </si>
  <si>
    <t>1029 S Roosevelt St</t>
  </si>
  <si>
    <t>Tempe</t>
  </si>
  <si>
    <t>1/Carport</t>
  </si>
  <si>
    <t>1029 W Fogal Way</t>
  </si>
  <si>
    <t>1031 S Roosevelt</t>
  </si>
  <si>
    <t>1041 W Apollo Ave</t>
  </si>
  <si>
    <t>1/Attached</t>
  </si>
  <si>
    <t>1068 W Todd Dr</t>
  </si>
  <si>
    <t>10956 E Clovis Ave</t>
  </si>
  <si>
    <t>1099 N Nebraska St</t>
  </si>
  <si>
    <t>Other</t>
  </si>
  <si>
    <t>110 W Saragosa St</t>
  </si>
  <si>
    <t>1103 S Karen Lane</t>
  </si>
  <si>
    <t>Gilbert</t>
  </si>
  <si>
    <t>11046 E Wier Ave</t>
  </si>
  <si>
    <t>1105 S McKemy St</t>
  </si>
  <si>
    <t>1107 S McKemy St</t>
  </si>
  <si>
    <t>1109 S McKemy St</t>
  </si>
  <si>
    <t>1112 W 10th St</t>
  </si>
  <si>
    <t>11164 W Royal Palm Road</t>
  </si>
  <si>
    <t>Peoria</t>
  </si>
  <si>
    <t>1125 W Oakland St</t>
  </si>
  <si>
    <t>1132 W Ellis Dr</t>
  </si>
  <si>
    <t>11324 W Orchid Lane</t>
  </si>
  <si>
    <t>11324 W Orchid Ln</t>
  </si>
  <si>
    <t>11341 W Townley Ave</t>
  </si>
  <si>
    <t>1142 W 12th St</t>
  </si>
  <si>
    <t>11440 E Cicero St</t>
  </si>
  <si>
    <t>11505 W Boca Raton Rd</t>
  </si>
  <si>
    <t>El Mirage</t>
  </si>
  <si>
    <t>11520 E Vine Ave</t>
  </si>
  <si>
    <t>11529 W Laurel Lane</t>
  </si>
  <si>
    <t>1153 W Auburn Dr</t>
  </si>
  <si>
    <t>11833 W Cortez St</t>
  </si>
  <si>
    <t>1204 W Hermosa Dr</t>
  </si>
  <si>
    <t>1207 W Galveston St</t>
  </si>
  <si>
    <t>1213 E Mercer Ln</t>
  </si>
  <si>
    <t>Phoenix</t>
  </si>
  <si>
    <t>1218 E El Parque St</t>
  </si>
  <si>
    <t>1221 W Hermosa Dr</t>
  </si>
  <si>
    <t>1223 W 10th St</t>
  </si>
  <si>
    <t>12305 N 128th Ave</t>
  </si>
  <si>
    <t>1241 W Linda Ln</t>
  </si>
  <si>
    <t>12443 W Via Camille Drive</t>
  </si>
  <si>
    <t>1251 W Toledo St</t>
  </si>
  <si>
    <t>1266 W Toledo St</t>
  </si>
  <si>
    <t>12726 W Charter Oak Rd</t>
  </si>
  <si>
    <t>12829 N 39th Dr</t>
  </si>
  <si>
    <t>12907 W Sharon Drive</t>
  </si>
  <si>
    <t>12910 W Rosewood Drive</t>
  </si>
  <si>
    <t>1316 W Bentrup St</t>
  </si>
  <si>
    <t>13361 W Port Royale Ln</t>
  </si>
  <si>
    <t>Surprise</t>
  </si>
  <si>
    <t>13594 W Desert Flower Drive</t>
  </si>
  <si>
    <t>Goodyear</t>
  </si>
  <si>
    <t>1380 N Nebraska St</t>
  </si>
  <si>
    <t>140 W Manor St</t>
  </si>
  <si>
    <t>1402 E Guadalupe Rd</t>
  </si>
  <si>
    <t>1422 S Kenneth Pl</t>
  </si>
  <si>
    <t>1425 S Kenneth Pl</t>
  </si>
  <si>
    <t>1425 S Stanley Pl</t>
  </si>
  <si>
    <t>1440 S Rita Lane</t>
  </si>
  <si>
    <t>1445 S Rita Lane</t>
  </si>
  <si>
    <t>1450 S Rita Lane</t>
  </si>
  <si>
    <t>1455 S Rita Lane</t>
  </si>
  <si>
    <t>14590 W Georgia Drive</t>
  </si>
  <si>
    <t>1460 S Rita Lane</t>
  </si>
  <si>
    <t>1465 S Rita Lane</t>
  </si>
  <si>
    <t>1470 S Rita Lane</t>
  </si>
  <si>
    <t>1475 S Rita Lane</t>
  </si>
  <si>
    <t>14767 N 148th Ave</t>
  </si>
  <si>
    <t>1480 S Rita Lane</t>
  </si>
  <si>
    <t>1483 W Elgin St</t>
  </si>
  <si>
    <t>14840 N 54th Ave</t>
  </si>
  <si>
    <t>Glendale</t>
  </si>
  <si>
    <t>1490 S Rita Lane</t>
  </si>
  <si>
    <t>1491 S Rita Lane</t>
  </si>
  <si>
    <t>1493 S Rita Lane</t>
  </si>
  <si>
    <t>1495 S Rita Lane</t>
  </si>
  <si>
    <t>14958 W Rockrose Way</t>
  </si>
  <si>
    <t>1497 S Rita Lane</t>
  </si>
  <si>
    <t>1500 N Sunview Parkway</t>
  </si>
  <si>
    <t>15183 W Lincoln St</t>
  </si>
  <si>
    <t>1521 E Hudson Dr</t>
  </si>
  <si>
    <t>1530 W Fairmont Dr</t>
  </si>
  <si>
    <t>15370 W Jill Ln</t>
  </si>
  <si>
    <t>15459 W Yucatan Drive</t>
  </si>
  <si>
    <t>15596 W Meade Lane</t>
  </si>
  <si>
    <t>16022 N 25th Ave</t>
  </si>
  <si>
    <t>161 W Ivanhoe Pl</t>
  </si>
  <si>
    <t>1617 W Colter St</t>
  </si>
  <si>
    <t>16188 W Hearn Rd</t>
  </si>
  <si>
    <t>1622 E Oakland St</t>
  </si>
  <si>
    <t>16241 N 45th Ave</t>
  </si>
  <si>
    <t>16243 W Crenshaw Street</t>
  </si>
  <si>
    <t>1631 N Bullmoose</t>
  </si>
  <si>
    <t>1638 W Inverness Dr</t>
  </si>
  <si>
    <t>1661 N Garrett Dr</t>
  </si>
  <si>
    <t>16619 W Cottonwood Street</t>
  </si>
  <si>
    <t>1675 E Bishop Dr</t>
  </si>
  <si>
    <t>16875 W Manchester Dr</t>
  </si>
  <si>
    <t>170 E Guadalupe Rd</t>
  </si>
  <si>
    <t>1742 E Constitution Dr</t>
  </si>
  <si>
    <t>1757 E Todd Dr</t>
  </si>
  <si>
    <t>17833 W Desert Lane</t>
  </si>
  <si>
    <t>181 S Maple St</t>
  </si>
  <si>
    <t>1812 E Gail Dr</t>
  </si>
  <si>
    <t>1836 E Palmcroft Dr</t>
  </si>
  <si>
    <t>18390 W Sunrise Drive</t>
  </si>
  <si>
    <t>1847 E Kirkland Ln</t>
  </si>
  <si>
    <t>C</t>
  </si>
  <si>
    <t>1929 E Del Rio Dr</t>
  </si>
  <si>
    <t>1934 E Ivanhoe Street</t>
  </si>
  <si>
    <t>1934 N Iowa Street</t>
  </si>
  <si>
    <t>1942 E Minton Dr</t>
  </si>
  <si>
    <t>1961 N Iowa St</t>
  </si>
  <si>
    <t>1965 E Del Sur Dr</t>
  </si>
  <si>
    <t>1974 E Richards Dr</t>
  </si>
  <si>
    <t>1985 E Harrison Street</t>
  </si>
  <si>
    <t>2009 W Western Dr</t>
  </si>
  <si>
    <t>2021 N 68th St</t>
  </si>
  <si>
    <t>Scottsdale</t>
  </si>
  <si>
    <t>2022 W Hermosa Dr</t>
  </si>
  <si>
    <t>205 S Kingston St</t>
  </si>
  <si>
    <t>2071 E Minton Dr</t>
  </si>
  <si>
    <t>21235 E Via De Olivos</t>
  </si>
  <si>
    <t>Queen Creek</t>
  </si>
  <si>
    <t>21299 E Roundup Way</t>
  </si>
  <si>
    <t>215 E Cairo Dr</t>
  </si>
  <si>
    <t>2177 E Broadmor Dr</t>
  </si>
  <si>
    <t>2181 E Greenway Dr</t>
  </si>
  <si>
    <t>2189 N 135th Drive</t>
  </si>
  <si>
    <t>21933 E Via Del Palo</t>
  </si>
  <si>
    <t>2206 W Knox Rd</t>
  </si>
  <si>
    <t>2206 W Riviera Dr</t>
  </si>
  <si>
    <t>22250 E Via Del Palo</t>
  </si>
  <si>
    <t>2307 W Bentrup St</t>
  </si>
  <si>
    <t>2314 N 37th Way</t>
  </si>
  <si>
    <t>2315 E Pecan Rd</t>
  </si>
  <si>
    <t>2416 W Riviera Dr</t>
  </si>
  <si>
    <t>2510 E Indianola Ave</t>
  </si>
  <si>
    <t>2523 W Fremont Dr</t>
  </si>
  <si>
    <t>2532 W Hidalgo Ave</t>
  </si>
  <si>
    <t>2602 W Fremont Dr</t>
  </si>
  <si>
    <t>261 W Tulsa St</t>
  </si>
  <si>
    <t>262 W Tulsa St</t>
  </si>
  <si>
    <t>2622 S Siesta Dr</t>
  </si>
  <si>
    <t>2670 W Bentrup St</t>
  </si>
  <si>
    <t>2715 E Windsor Ave</t>
  </si>
  <si>
    <t>2807 N Central Dr</t>
  </si>
  <si>
    <t>282 N Washington St</t>
  </si>
  <si>
    <t>2831 W Margy Ct</t>
  </si>
  <si>
    <t>287 N Hudson Pl</t>
  </si>
  <si>
    <t>301 W Galveston St</t>
  </si>
  <si>
    <t>3035 W Acapulco Lane</t>
  </si>
  <si>
    <t>304 W Riviera Dr</t>
  </si>
  <si>
    <t>309 W Mesquite St</t>
  </si>
  <si>
    <t>312 W Palomino Dr</t>
  </si>
  <si>
    <t>3124 W Pollack Street</t>
  </si>
  <si>
    <t>317 W Mesquite St</t>
  </si>
  <si>
    <t>3240 W Desert Cove Ave</t>
  </si>
  <si>
    <t>337 E Pierce St</t>
  </si>
  <si>
    <t>3521 W Paseo Way</t>
  </si>
  <si>
    <t>Laveen</t>
  </si>
  <si>
    <t>3615 W Elgin St</t>
  </si>
  <si>
    <t>3620 W Fairview Ln</t>
  </si>
  <si>
    <t>3621 S Cottonwood Dr</t>
  </si>
  <si>
    <t>3621 S Cottonwood Drive</t>
  </si>
  <si>
    <t>3718 S 58th Drive</t>
  </si>
  <si>
    <t>3910 S Roosevelt St</t>
  </si>
  <si>
    <t>3910 W Carter Road</t>
  </si>
  <si>
    <t>398 W Fairview St</t>
  </si>
  <si>
    <t>401 N Washington St</t>
  </si>
  <si>
    <t>403 W Jasper Dr</t>
  </si>
  <si>
    <t>405 W Mesquite St</t>
  </si>
  <si>
    <t>4122 E Sweetwater Ave</t>
  </si>
  <si>
    <t>4127 W Laurel Ln</t>
  </si>
  <si>
    <t>4202 W Irwin Ave</t>
  </si>
  <si>
    <t>427 W Greentree Dr</t>
  </si>
  <si>
    <t>4343 W Sierra St</t>
  </si>
  <si>
    <t>448 W Linda Ln</t>
  </si>
  <si>
    <t>451 E Beatryce St</t>
  </si>
  <si>
    <t>456 W Flint St</t>
  </si>
  <si>
    <t>472 W Jasper Dr</t>
  </si>
  <si>
    <t>4722 W Samantha Way</t>
  </si>
  <si>
    <t>4804 W Gardenia Ave</t>
  </si>
  <si>
    <t>484 W Toledo St</t>
  </si>
  <si>
    <t>517 W Knox Road</t>
  </si>
  <si>
    <t>525 W Sundance Way</t>
  </si>
  <si>
    <t>527 N Pepperwood Ct</t>
  </si>
  <si>
    <t>5331 S Mitchell Dr</t>
  </si>
  <si>
    <t>5371 S Country Club Way</t>
  </si>
  <si>
    <t>5417 S Palm Dr</t>
  </si>
  <si>
    <t>5419 W Atlantis</t>
  </si>
  <si>
    <t>5419 W Atlantis Ave</t>
  </si>
  <si>
    <t>5442 N 79th Drive</t>
  </si>
  <si>
    <t>5710 S Roberts Rd</t>
  </si>
  <si>
    <t>5810 W Royal Palm Rd</t>
  </si>
  <si>
    <t>5956 S Parkside Dr</t>
  </si>
  <si>
    <t>600 W Ivanhoe St</t>
  </si>
  <si>
    <t>602 W Magdalena Dr</t>
  </si>
  <si>
    <t>6219 S Parkside Dr</t>
  </si>
  <si>
    <t>623 W Yale Dr</t>
  </si>
  <si>
    <t>649 W Oakland St</t>
  </si>
  <si>
    <t>651 N Colorado St</t>
  </si>
  <si>
    <t>6625 E Latham St</t>
  </si>
  <si>
    <t>670 E Laredo St</t>
  </si>
  <si>
    <t>681 E Temple St</t>
  </si>
  <si>
    <t>6849 S Juniper St</t>
  </si>
  <si>
    <t>6858 S Dennis Dr</t>
  </si>
  <si>
    <t>6913 E Culver St</t>
  </si>
  <si>
    <t>698 N Jay St</t>
  </si>
  <si>
    <t>700 N Evergreen St</t>
  </si>
  <si>
    <t>703 E Colgate Dr</t>
  </si>
  <si>
    <t>7050 W Purdue Ave</t>
  </si>
  <si>
    <t>7120 W Canterbury Dr</t>
  </si>
  <si>
    <t>714 W Dublin St</t>
  </si>
  <si>
    <t>720 E Glenmere Dr</t>
  </si>
  <si>
    <t>7211 W Northview Ave</t>
  </si>
  <si>
    <t>7344 E Roosevelt St</t>
  </si>
  <si>
    <t>740 N Exeter St</t>
  </si>
  <si>
    <t>740 N Pleasant Dr</t>
  </si>
  <si>
    <t>7507 E Kimsey Ln</t>
  </si>
  <si>
    <t>761 W Gary Dr</t>
  </si>
  <si>
    <t>7739 E Portland</t>
  </si>
  <si>
    <t>7802 E Moreland St</t>
  </si>
  <si>
    <t>7807 E Roosevelt St</t>
  </si>
  <si>
    <t>7820 N 54th Lane</t>
  </si>
  <si>
    <t>7907 E 4th Ave</t>
  </si>
  <si>
    <t>8 S 130th Pl</t>
  </si>
  <si>
    <t>800 W Shannon St</t>
  </si>
  <si>
    <t>802 N Bogle Ave</t>
  </si>
  <si>
    <t>8053 N 110th Drive</t>
  </si>
  <si>
    <t>809 W Libra Dr</t>
  </si>
  <si>
    <t>8111 S 5th Ave</t>
  </si>
  <si>
    <t>815 W Orion St</t>
  </si>
  <si>
    <t>817 E Tyson St</t>
  </si>
  <si>
    <t>820 W Apollo Ave</t>
  </si>
  <si>
    <t>826 N 72nd Pl</t>
  </si>
  <si>
    <t>8261 N 111th Ln</t>
  </si>
  <si>
    <t>827 E Monterey St</t>
  </si>
  <si>
    <t>8326 E Fairmount Ave</t>
  </si>
  <si>
    <t>861 W Mesquite St</t>
  </si>
  <si>
    <t>8637 W Shaw Butte Dr</t>
  </si>
  <si>
    <t>865 N Oregon St</t>
  </si>
  <si>
    <t>873 E Cindy St</t>
  </si>
  <si>
    <t>875 S Nebraska St</t>
  </si>
  <si>
    <t>8784 W Windsor Drive</t>
  </si>
  <si>
    <t>8819 W Hammond Lane</t>
  </si>
  <si>
    <t>Tolleson</t>
  </si>
  <si>
    <t>884 N Cheri Lynn Dr</t>
  </si>
  <si>
    <t>8901 N 114th Dr</t>
  </si>
  <si>
    <t>901 W Libra Dr</t>
  </si>
  <si>
    <t>902 E Whyman Ave</t>
  </si>
  <si>
    <t>Avondale</t>
  </si>
  <si>
    <t>912 W Julie Dr</t>
  </si>
  <si>
    <t>9148 W Meadow Drive</t>
  </si>
  <si>
    <t>9157 W Palm Lane</t>
  </si>
  <si>
    <t>9310 W Berkeley Rd</t>
  </si>
  <si>
    <t>9313 W Brown Street</t>
  </si>
  <si>
    <t>937 E Henry St</t>
  </si>
  <si>
    <t>9422 S 33rd Drive</t>
  </si>
  <si>
    <t>9424 S 34th Drive</t>
  </si>
  <si>
    <t>946 W Gary Dr</t>
  </si>
  <si>
    <t>9469 N 81st Drive</t>
  </si>
  <si>
    <t>9550 N 82nd Glen</t>
  </si>
  <si>
    <t>9623 N 15th Place</t>
  </si>
  <si>
    <t>971 W Manhatton Dr</t>
  </si>
  <si>
    <t>2925 W Putnam Dr</t>
  </si>
  <si>
    <t>year_acquired</t>
  </si>
  <si>
    <t>year_sold</t>
  </si>
  <si>
    <t>initial_acquisition_cost</t>
  </si>
  <si>
    <t>subsidy_amount</t>
  </si>
  <si>
    <t>subsidy_source</t>
  </si>
  <si>
    <t>subsidy_purpose</t>
  </si>
  <si>
    <t>list_price</t>
  </si>
  <si>
    <t>fee_simple_appraisal_value</t>
  </si>
  <si>
    <t>leasehold_appraised</t>
  </si>
  <si>
    <t>appraised_market_value</t>
  </si>
  <si>
    <t>purchase_price</t>
  </si>
  <si>
    <t>write_down</t>
  </si>
  <si>
    <t>base_price</t>
  </si>
  <si>
    <t>loan_amount</t>
  </si>
  <si>
    <t>monthly_payments</t>
  </si>
  <si>
    <t>monthly_taxes_and_insurance</t>
  </si>
  <si>
    <t>land_fee</t>
  </si>
  <si>
    <t>interest_rate</t>
  </si>
  <si>
    <t>seller_equity_amount</t>
  </si>
  <si>
    <t>additional_repair_amount</t>
  </si>
  <si>
    <t>additional_repair_purpose</t>
  </si>
  <si>
    <t>additional_repair_source</t>
  </si>
  <si>
    <t>household_income_at_move_in</t>
  </si>
  <si>
    <t>household_income_at_move_out</t>
  </si>
  <si>
    <t>resale_formula</t>
  </si>
  <si>
    <t>length_of_tenure</t>
  </si>
  <si>
    <t>time_on_market_months</t>
  </si>
  <si>
    <t>affordability_relative_to_market</t>
  </si>
  <si>
    <t>loan_remaining_previous_seller</t>
  </si>
  <si>
    <t>household_size</t>
  </si>
  <si>
    <t>household_income_to_AMI_percent</t>
  </si>
  <si>
    <t>loan_type</t>
  </si>
  <si>
    <t>lender_name</t>
  </si>
  <si>
    <t>loan_term_years</t>
  </si>
  <si>
    <t>loan_remaining_seller</t>
  </si>
  <si>
    <t>2006-02-27T00:00:00</t>
  </si>
  <si>
    <t>2006-01-06T00:00:00</t>
  </si>
  <si>
    <t>2016-02-29</t>
  </si>
  <si>
    <t>2020-04-03</t>
  </si>
  <si>
    <t>2024-07-07</t>
  </si>
  <si>
    <t>2006-01-25T00:00:00</t>
  </si>
  <si>
    <t>2007-08-27</t>
  </si>
  <si>
    <t>2025-04-11</t>
  </si>
  <si>
    <t>2006-08-11T00:00:00</t>
  </si>
  <si>
    <t>2010-05-28</t>
  </si>
  <si>
    <t>2018-08-15</t>
  </si>
  <si>
    <t>2006-11-03</t>
  </si>
  <si>
    <t>2006-01-05</t>
  </si>
  <si>
    <t>2006-01-16</t>
  </si>
  <si>
    <t>2016-06-13</t>
  </si>
  <si>
    <t>2007-03-29</t>
  </si>
  <si>
    <t>2006-01-11</t>
  </si>
  <si>
    <t>2025-07-17</t>
  </si>
  <si>
    <t>2008-10-03</t>
  </si>
  <si>
    <t>2006-01-01</t>
  </si>
  <si>
    <t>2025-01-02</t>
  </si>
  <si>
    <t>2012-01-01</t>
  </si>
  <si>
    <t>2013-09-26</t>
  </si>
  <si>
    <t>2008-01-01</t>
  </si>
  <si>
    <t>2009-07-23</t>
  </si>
  <si>
    <t>2013-07-19</t>
  </si>
  <si>
    <t>2017-05-12</t>
  </si>
  <si>
    <t>2022-07-20</t>
  </si>
  <si>
    <t>2019-11-22</t>
  </si>
  <si>
    <t>2016-12-15</t>
  </si>
  <si>
    <t>2016-01-28</t>
  </si>
  <si>
    <t>2019-11-27</t>
  </si>
  <si>
    <t>2020-11-23</t>
  </si>
  <si>
    <t>2023-01-01</t>
  </si>
  <si>
    <t>2023-02-24</t>
  </si>
  <si>
    <t>2023-12-25</t>
  </si>
  <si>
    <t>2013-12-16</t>
  </si>
  <si>
    <t>2014-02-10T00:00:00</t>
  </si>
  <si>
    <t>2015-12-03</t>
  </si>
  <si>
    <t>2015-12-21T00:00:00</t>
  </si>
  <si>
    <t>2013-08-07</t>
  </si>
  <si>
    <t>2010-01-01</t>
  </si>
  <si>
    <t>2011-01-24</t>
  </si>
  <si>
    <t>2022-01-01</t>
  </si>
  <si>
    <t>2022-06-16</t>
  </si>
  <si>
    <t>2022-08-18</t>
  </si>
  <si>
    <t>2029-01-01</t>
  </si>
  <si>
    <t>2020-04-01</t>
  </si>
  <si>
    <t>2024-06-28</t>
  </si>
  <si>
    <t>2011-09-26</t>
  </si>
  <si>
    <t>2012-09-05</t>
  </si>
  <si>
    <t>Rehabilitation</t>
  </si>
  <si>
    <t>2012-04-20</t>
  </si>
  <si>
    <t>2021-08-02</t>
  </si>
  <si>
    <t>2021-08-27</t>
  </si>
  <si>
    <t>2012-04-25</t>
  </si>
  <si>
    <t>2014-07-02</t>
  </si>
  <si>
    <t>2015-12-16</t>
  </si>
  <si>
    <t>2021-11-03</t>
  </si>
  <si>
    <t>2023-02-14</t>
  </si>
  <si>
    <t>2024-09-06</t>
  </si>
  <si>
    <t>2021-12-06</t>
  </si>
  <si>
    <t>2011-07-16</t>
  </si>
  <si>
    <t>2022-02-11</t>
  </si>
  <si>
    <t>2011-06-08</t>
  </si>
  <si>
    <t>2019-12-30</t>
  </si>
  <si>
    <t>2013-02-13</t>
  </si>
  <si>
    <t>2013-10-25</t>
  </si>
  <si>
    <t>2019-08-08</t>
  </si>
  <si>
    <t>2013-11-08</t>
  </si>
  <si>
    <t>2014-10-30</t>
  </si>
  <si>
    <t>2012-09-13</t>
  </si>
  <si>
    <t>2011-08-15</t>
  </si>
  <si>
    <t>2011-09-06</t>
  </si>
  <si>
    <t>2012-07-31</t>
  </si>
  <si>
    <t>2011-10-07</t>
  </si>
  <si>
    <t>2012-09-06</t>
  </si>
  <si>
    <t>2011-09-19</t>
  </si>
  <si>
    <t>2012-04-17</t>
  </si>
  <si>
    <t>2014-02-06</t>
  </si>
  <si>
    <t>2015-11-12</t>
  </si>
  <si>
    <t>2011-08-05</t>
  </si>
  <si>
    <t>2011-07-03</t>
  </si>
  <si>
    <t>2012-01-13</t>
  </si>
  <si>
    <t>2013-07-23</t>
  </si>
  <si>
    <t>2014-07-23</t>
  </si>
  <si>
    <t>2011-12-16</t>
  </si>
  <si>
    <t>2012-12-11</t>
  </si>
  <si>
    <t>2012-11-28</t>
  </si>
  <si>
    <t>2013-12-20</t>
  </si>
  <si>
    <t>2019-12-23</t>
  </si>
  <si>
    <t>2014-09-19</t>
  </si>
  <si>
    <t>2016-05-02</t>
  </si>
  <si>
    <t>2013-08-02</t>
  </si>
  <si>
    <t>2014-03-31</t>
  </si>
  <si>
    <t>2014-06-04</t>
  </si>
  <si>
    <t>2015-07-29</t>
  </si>
  <si>
    <t>2011-07-18</t>
  </si>
  <si>
    <t>2012-05-08</t>
  </si>
  <si>
    <t>2013-06-04</t>
  </si>
  <si>
    <t>2014-06-20</t>
  </si>
  <si>
    <t>2012-03-08</t>
  </si>
  <si>
    <t>2019-08-14</t>
  </si>
  <si>
    <t>2012-02-16</t>
  </si>
  <si>
    <t>2012-12-31</t>
  </si>
  <si>
    <t>2011-12-29</t>
  </si>
  <si>
    <t>2013-04-23</t>
  </si>
  <si>
    <t>2011-06-01</t>
  </si>
  <si>
    <t>2012-07-12</t>
  </si>
  <si>
    <t>2012-07-11</t>
  </si>
  <si>
    <t>2012-05-07</t>
  </si>
  <si>
    <t>2013-01-30</t>
  </si>
  <si>
    <t>2012-06-29</t>
  </si>
  <si>
    <t>2012-07-20</t>
  </si>
  <si>
    <t>2012-04-11</t>
  </si>
  <si>
    <t>2011-09-15</t>
  </si>
  <si>
    <t>2011-06-30</t>
  </si>
  <si>
    <t>2013-04-15</t>
  </si>
  <si>
    <t>2014-05-30</t>
  </si>
  <si>
    <t>2011-02-24</t>
  </si>
  <si>
    <t>2011-02-23</t>
  </si>
  <si>
    <t>2012-06-22</t>
  </si>
  <si>
    <t>2014-12-12</t>
  </si>
  <si>
    <t>2016-07-18</t>
  </si>
  <si>
    <t>2021-12-01</t>
  </si>
  <si>
    <t>2023-10-18</t>
  </si>
  <si>
    <t>2024-01-24</t>
  </si>
  <si>
    <t>2011-08-23</t>
  </si>
  <si>
    <t>2012-07-18</t>
  </si>
  <si>
    <t>2012-06-13</t>
  </si>
  <si>
    <t>2021-02-17</t>
  </si>
  <si>
    <t>2012-10-31</t>
  </si>
  <si>
    <t>2012-10-09</t>
  </si>
  <si>
    <t>2013-08-27</t>
  </si>
  <si>
    <t>2012-04-27</t>
  </si>
  <si>
    <t>2017-10-27</t>
  </si>
  <si>
    <t>2013-03-22</t>
  </si>
  <si>
    <t>2013-07-26</t>
  </si>
  <si>
    <t>2011-07-29</t>
  </si>
  <si>
    <t>2012-11-08</t>
  </si>
  <si>
    <t>2012-07-10</t>
  </si>
  <si>
    <t>2012-07-09</t>
  </si>
  <si>
    <t>2012-08-24</t>
  </si>
  <si>
    <t>2012-12-04</t>
  </si>
  <si>
    <t>2013-06-13</t>
  </si>
  <si>
    <t>2024-05-20</t>
  </si>
  <si>
    <t>2013-08-28</t>
  </si>
  <si>
    <t>2014-04-22</t>
  </si>
  <si>
    <t>2011-05-11</t>
  </si>
  <si>
    <t>2017-12-28</t>
  </si>
  <si>
    <t>2012-06-15</t>
  </si>
  <si>
    <t>2019-07-22</t>
  </si>
  <si>
    <t>2012-05-23</t>
  </si>
  <si>
    <t>2024-04-30</t>
  </si>
  <si>
    <t>2015-09-24</t>
  </si>
  <si>
    <t>2019-04-30</t>
  </si>
  <si>
    <t>2012-05-03</t>
  </si>
  <si>
    <t>2013-03-12</t>
  </si>
  <si>
    <t>2014-08-01</t>
  </si>
  <si>
    <t>2018-09-05</t>
  </si>
  <si>
    <t>2013-05-10</t>
  </si>
  <si>
    <t>2014-04-29</t>
  </si>
  <si>
    <t>2017-03-17</t>
  </si>
  <si>
    <t>2010-12-27</t>
  </si>
  <si>
    <t>2012-04-09</t>
  </si>
  <si>
    <t>2011-10-18</t>
  </si>
  <si>
    <t>2012-04-24</t>
  </si>
  <si>
    <t>2013-05-16</t>
  </si>
  <si>
    <t>2023-03-15</t>
  </si>
  <si>
    <t>2012-12-10</t>
  </si>
  <si>
    <t>2018-11-20</t>
  </si>
  <si>
    <t>2012-08-31</t>
  </si>
  <si>
    <t>2012-09-21</t>
  </si>
  <si>
    <t>2024-08-30T00:00:00</t>
  </si>
  <si>
    <t>2013-07-08</t>
  </si>
  <si>
    <t>2012-06-09</t>
  </si>
  <si>
    <t>2013-10-23</t>
  </si>
  <si>
    <t>2015-02-02</t>
  </si>
  <si>
    <t>2011-07-19</t>
  </si>
  <si>
    <t>2011-06-28</t>
  </si>
  <si>
    <t>2021-06-28</t>
  </si>
  <si>
    <t>2012-07-30</t>
  </si>
  <si>
    <t>2013-08-20</t>
  </si>
  <si>
    <t>2014-06-13</t>
  </si>
  <si>
    <t>2013-10-24</t>
  </si>
  <si>
    <t>2015-03-05</t>
  </si>
  <si>
    <t>2012-11-30</t>
  </si>
  <si>
    <t>2011-07-27</t>
  </si>
  <si>
    <t>2011-05-31</t>
  </si>
  <si>
    <t>2012-07-06</t>
  </si>
  <si>
    <t>2013-07-11</t>
  </si>
  <si>
    <t>2011-05-23</t>
  </si>
  <si>
    <t>2013-01-25</t>
  </si>
  <si>
    <t>2011-05-31T00:00:00</t>
  </si>
  <si>
    <t>2018-10-31T00:00:00</t>
  </si>
  <si>
    <t>2018-01-31T00:00:00</t>
  </si>
  <si>
    <t>2018-06-27T00:00:00</t>
  </si>
  <si>
    <t>Chandler CDHO HOME FY17-18</t>
  </si>
  <si>
    <t>Acquisition and rehab</t>
  </si>
  <si>
    <t>2023-04-20T00:00:00</t>
  </si>
  <si>
    <t>2023-06-09T00:00:00</t>
  </si>
  <si>
    <t>2007-11-02T00:00:00</t>
  </si>
  <si>
    <t>Tempe CHDO HOME FY06-07</t>
  </si>
  <si>
    <t xml:space="preserve">ADOH CHDO HOME FY07-08 - 32k
Tempe CHDO HOME FY07-08 - 20K
</t>
  </si>
  <si>
    <t>2012-10-26T00:00:00</t>
  </si>
  <si>
    <t>2017-12-11T00:00:00</t>
  </si>
  <si>
    <t>2005-04-19T00:00:00</t>
  </si>
  <si>
    <t>2005-07-27T00:00:00</t>
  </si>
  <si>
    <t>Tempe CHDO HOME FY04-05</t>
  </si>
  <si>
    <t>Tempe CHDO HOME FY12-13</t>
  </si>
  <si>
    <t>2015-06-09T00:00:00</t>
  </si>
  <si>
    <t>2015-10-15T00:00:00</t>
  </si>
  <si>
    <t>2007-01-31T00:00:00</t>
  </si>
  <si>
    <t>2007-07-13T00:00:00</t>
  </si>
  <si>
    <t>ADOH CHDO HOME FY07-08</t>
  </si>
  <si>
    <t>2010-08-09T00:00:00</t>
  </si>
  <si>
    <t>2015-06-12T00:00:00</t>
  </si>
  <si>
    <t>2006-02-15T00:00:00</t>
  </si>
  <si>
    <t>2006-05-15T00:00:00</t>
  </si>
  <si>
    <t>Tempe CHDO HOME FY05-06</t>
  </si>
  <si>
    <t>ADOH CHDO HOME FY06-07</t>
  </si>
  <si>
    <t>2009-12-16T00:00:00</t>
  </si>
  <si>
    <t>2010-03-08T00:00:00</t>
  </si>
  <si>
    <t>Tempe CHDO HOME FY09-10</t>
  </si>
  <si>
    <t>ADOH CHDO HOME FY08-09</t>
  </si>
  <si>
    <t>2024-10-24T00:00:00</t>
  </si>
  <si>
    <t>2012-03-16T00:00:00</t>
  </si>
  <si>
    <t>2012-08-15T00:00:00</t>
  </si>
  <si>
    <t>Chandler NSP-1</t>
  </si>
  <si>
    <t>2019-02-15T00:00:00</t>
  </si>
  <si>
    <t>2019-08-05T00:00:00</t>
  </si>
  <si>
    <t>2023-03-09T00:00:00</t>
  </si>
  <si>
    <t>2020-12-10T00:00:00</t>
  </si>
  <si>
    <t>2021-07-20T00:00:00</t>
  </si>
  <si>
    <t>Maricopa HOME FY20-21</t>
  </si>
  <si>
    <t>2006-10-03T00:00:00</t>
  </si>
  <si>
    <t>2006-10-31T00:00:00</t>
  </si>
  <si>
    <t>Tempe C2005-115</t>
  </si>
  <si>
    <t>New construction</t>
  </si>
  <si>
    <t>2006-11-01T00:00:00</t>
  </si>
  <si>
    <t>2006-11-03T00:00:00</t>
  </si>
  <si>
    <t>2001-03-21T00:00:00</t>
  </si>
  <si>
    <t>2002-06-12T00:00:00</t>
  </si>
  <si>
    <t>Tempe C2000-198</t>
  </si>
  <si>
    <t>2007-07-10T00:00:00</t>
  </si>
  <si>
    <t>2007-10-26T00:00:00</t>
  </si>
  <si>
    <t>2017-11-30T00:00:00</t>
  </si>
  <si>
    <t>00:00:00</t>
  </si>
  <si>
    <t>2024-01-11T00:00:00</t>
  </si>
  <si>
    <t>2017-02-28T00:00:00</t>
  </si>
  <si>
    <t>2017-12-08T00:00:00</t>
  </si>
  <si>
    <t>Chandler CHDO HOME FY15-16</t>
  </si>
  <si>
    <t>2004-03-30T00:00:00</t>
  </si>
  <si>
    <t>2004-05-28T00:00:00</t>
  </si>
  <si>
    <t>2010-12-17T00:00:00</t>
  </si>
  <si>
    <t>2014-11-26T00:00:00</t>
  </si>
  <si>
    <t>2021-12-15T00:00:00</t>
  </si>
  <si>
    <t>2023-03-15T00:00:00</t>
  </si>
  <si>
    <t>2023-05-31T00:00:00</t>
  </si>
  <si>
    <t>2022-03-30T00:00:00</t>
  </si>
  <si>
    <t>2022-08-11T00:00:00</t>
  </si>
  <si>
    <t>2001-08-17T00:00:00</t>
  </si>
  <si>
    <t>2002-03-27T00:00:00</t>
  </si>
  <si>
    <t>2023-08-17T00:00:00</t>
  </si>
  <si>
    <t>2025-07-30T00:00:00</t>
  </si>
  <si>
    <t>2025-09-23T00:00:00</t>
  </si>
  <si>
    <t>2021-09-29T00:00:00</t>
  </si>
  <si>
    <t>2022-02-10T00:00:00</t>
  </si>
  <si>
    <t>2023-09-07T00:00:00</t>
  </si>
  <si>
    <t>2023-11-22T00:00:00</t>
  </si>
  <si>
    <t>2006-05-10T00:00:00</t>
  </si>
  <si>
    <t>2006-08-02T00:00:00</t>
  </si>
  <si>
    <t>2020-10-16T00:00:00</t>
  </si>
  <si>
    <t>2021-02-02T00:00:00</t>
  </si>
  <si>
    <t>2007-07-17T00:00:00</t>
  </si>
  <si>
    <t>2008-11-18T00:00:00</t>
  </si>
  <si>
    <t xml:space="preserve">ADOH CHDO HOME FY07-08  $32K
Tempe CHDO HOME FY07-08 $30905
</t>
  </si>
  <si>
    <t>2018-06-08T00:00:00</t>
  </si>
  <si>
    <t>2018-08-31T00:00:00</t>
  </si>
  <si>
    <t>Chandler HOME FY17-18</t>
  </si>
  <si>
    <t>2021-12-22T00:00:00</t>
  </si>
  <si>
    <t>2022-05-31T00:00:00</t>
  </si>
  <si>
    <t>2013-02-28T00:00:00</t>
  </si>
  <si>
    <t>2013-06-11T00:00:00</t>
  </si>
  <si>
    <t>2004-09-08T00:00:00</t>
  </si>
  <si>
    <t>2004-11-24T00:00:00</t>
  </si>
  <si>
    <t>2003-03-03T00:00:00</t>
  </si>
  <si>
    <t>2003-06-26T00:00:00</t>
  </si>
  <si>
    <t>2024-12-05T00:00:00</t>
  </si>
  <si>
    <t>2025-03-20T00:00:00</t>
  </si>
  <si>
    <t>2014-03-27T00:00:00</t>
  </si>
  <si>
    <t>2015-05-15T00:00:00</t>
  </si>
  <si>
    <t>Chandler HOME FY10</t>
  </si>
  <si>
    <t>Chandler HOME FY10-11 $84971.6
Chandler HOME FY13-14 $6674</t>
  </si>
  <si>
    <t>2025-02-12T00:00:00</t>
  </si>
  <si>
    <t>2025-06-27T00:00:00</t>
  </si>
  <si>
    <t>2018-09-07T00:00:00</t>
  </si>
  <si>
    <t>2018-12-05T00:00:00</t>
  </si>
  <si>
    <t>Chandler CDHO HOME FY17-18 $88473.67
Chandler HOME FY17-18 $13477.21</t>
  </si>
  <si>
    <t>2016-04-15T00:00:00</t>
  </si>
  <si>
    <t>2017-03-24T00:00:00</t>
  </si>
  <si>
    <t>Chandler HOME FY15-16 $41642
Chandler HOME FY14-15 $48995.81</t>
  </si>
  <si>
    <t>2022-11-30T00:00:00</t>
  </si>
  <si>
    <t>2023-03-20T00:00:00</t>
  </si>
  <si>
    <t>2023-09-14T00:00:00</t>
  </si>
  <si>
    <t>2023-10-31T00:00:00</t>
  </si>
  <si>
    <t>2014-07-25T00:00:00</t>
  </si>
  <si>
    <t>2015-01-09T00:00:00</t>
  </si>
  <si>
    <t>Chandler HOME FY13-14</t>
  </si>
  <si>
    <t>2024-01-10T00:00:00</t>
  </si>
  <si>
    <t>2024-04-16T00:00:00</t>
  </si>
  <si>
    <t>2011-07-15T00:00:00</t>
  </si>
  <si>
    <t>2011-11-23T00:00:00</t>
  </si>
  <si>
    <t>2019-04-03T00:00:00</t>
  </si>
  <si>
    <t>2010-04-29T00:00:00</t>
  </si>
  <si>
    <t>2010-11-02T00:00:00</t>
  </si>
  <si>
    <t>2007-03-19T00:00:00</t>
  </si>
  <si>
    <t>Tempe-C06-07-NTWN</t>
  </si>
  <si>
    <t>2003-04-07T00:00:00</t>
  </si>
  <si>
    <t>2003-10-15T00:00:00</t>
  </si>
  <si>
    <t>Tempe Land-1 $30500
Tempe Land-2 $65K</t>
  </si>
  <si>
    <t>Tempe Land-1</t>
  </si>
  <si>
    <t>2011-02-28T00:00:00</t>
  </si>
  <si>
    <t>2017-05-09T00:00:00</t>
  </si>
  <si>
    <t>2007-12-12T00:00:00</t>
  </si>
  <si>
    <t>2008-02-01T00:00:00</t>
  </si>
  <si>
    <t>2004-04-06T00:00:00</t>
  </si>
  <si>
    <t>2004-12-09T00:00:00</t>
  </si>
  <si>
    <t>2012-12-06T00:00:00</t>
  </si>
  <si>
    <t>2013-08-16T00:00:00</t>
  </si>
  <si>
    <t>2021-12-17T00:00:00</t>
  </si>
  <si>
    <t>Tempe CHDO HOME FY19-20</t>
  </si>
  <si>
    <t>Tempe CDBG FY21-22</t>
  </si>
  <si>
    <t>2022-03-03T00:00:00</t>
  </si>
  <si>
    <t>2024-01-30T00:00:00</t>
  </si>
  <si>
    <t>2024-06-12T00:00:00</t>
  </si>
  <si>
    <t>2022-03-17T00:00:00</t>
  </si>
  <si>
    <t>2025-03-27T00:00:00</t>
  </si>
  <si>
    <t>2025-07-17T00:00:00</t>
  </si>
  <si>
    <t>2022-01-10T00:00:00</t>
  </si>
  <si>
    <t>2011-09-12T00:00:00</t>
  </si>
  <si>
    <t>2011-11-09T00:00:00</t>
  </si>
  <si>
    <t>2022-04-13T00:00:00</t>
  </si>
  <si>
    <t>2022-10-06T00:00:00</t>
  </si>
  <si>
    <t>2024-01-03T00:00:00</t>
  </si>
  <si>
    <t>2021-12-23T00:00:00</t>
  </si>
  <si>
    <t>2023-01-31T00:00:00</t>
  </si>
  <si>
    <t>2023-12-13T00:00:00</t>
  </si>
  <si>
    <t>2021-01-13T00:00:00</t>
  </si>
  <si>
    <t>2021-06-24T00:00:00</t>
  </si>
  <si>
    <t>2010-09-01T00:00:00</t>
  </si>
  <si>
    <t>2012-11-01T00:00:00</t>
  </si>
  <si>
    <t>2015-06-30T00:00:00</t>
  </si>
  <si>
    <t>2015-11-16T00:00:00</t>
  </si>
  <si>
    <t>Tempe CHDO HOME FY13-14</t>
  </si>
  <si>
    <t>2021-12-09T00:00:00</t>
  </si>
  <si>
    <t>2024-09-26T00:00:00</t>
  </si>
  <si>
    <t>2016-07-07T00:00:00</t>
  </si>
  <si>
    <t>2017-11-21T00:00:00</t>
  </si>
  <si>
    <t>Chandler HOME FY13-14 CSA</t>
  </si>
  <si>
    <t>Chandler HOME FY14-15</t>
  </si>
  <si>
    <t>2011-09-15T00:00:00</t>
  </si>
  <si>
    <t>2011-12-20T00:00:00</t>
  </si>
  <si>
    <t>2022-08-15T00:00:00</t>
  </si>
  <si>
    <t>2023-05-24T00:00:00</t>
  </si>
  <si>
    <t>2024-08-02T00:00:00</t>
  </si>
  <si>
    <t>2024-11-27T00:00:00</t>
  </si>
  <si>
    <t>2011-05-11T00:00:00</t>
  </si>
  <si>
    <t>2012-02-18T00:00:00</t>
  </si>
  <si>
    <t>2018-01-12T00:00:00</t>
  </si>
  <si>
    <t>2018-05-02T00:00:00</t>
  </si>
  <si>
    <t>Tempe CHDO HOME FY14-15</t>
  </si>
  <si>
    <t>2010-01-27T00:00:00</t>
  </si>
  <si>
    <t>2010-04-21T00:00:00</t>
  </si>
  <si>
    <t>2009-11-23T00:00:00</t>
  </si>
  <si>
    <t>2010-06-23T00:00:00</t>
  </si>
  <si>
    <t>Tempe CHDO HOME FY08-09</t>
  </si>
  <si>
    <t>2024-05-16T00:00:00</t>
  </si>
  <si>
    <t>2014-09-30T00:00:00</t>
  </si>
  <si>
    <t>2014-11-12T00:00:00</t>
  </si>
  <si>
    <t>Chandler CHDO HOME FY12-13</t>
  </si>
  <si>
    <t>Buyer initiated</t>
  </si>
  <si>
    <t>2003-06-05T00:00:00</t>
  </si>
  <si>
    <t>2003-07-31T00:00:00</t>
  </si>
  <si>
    <t>2023-11-28T00:00:00</t>
  </si>
  <si>
    <t>2024-01-31T00:00:00</t>
  </si>
  <si>
    <t>2011-12-06T00:00:00</t>
  </si>
  <si>
    <t>2012-03-23T00:00:00</t>
  </si>
  <si>
    <t>2010-10-15T00:00:00</t>
  </si>
  <si>
    <t>2011-03-25T00:00:00</t>
  </si>
  <si>
    <t>2018-10-30T00:00:00</t>
  </si>
  <si>
    <t>2017-04-07T00:00:00</t>
  </si>
  <si>
    <t>2017-09-22T00:00:00</t>
  </si>
  <si>
    <t>2023-12-29T00:00:00</t>
  </si>
  <si>
    <t>2024-04-25T00:00:00</t>
  </si>
  <si>
    <t>2007-03-07T00:00:00</t>
  </si>
  <si>
    <t>2004-02-09T00:00:00</t>
  </si>
  <si>
    <t>2004-04-30T00:00:00</t>
  </si>
  <si>
    <t>2024-05-08T00:00:00</t>
  </si>
  <si>
    <t>2024-07-19T00:00:00</t>
  </si>
  <si>
    <t>2018-01-10T00:00:00</t>
  </si>
  <si>
    <t>2014-01-31T00:00:00</t>
  </si>
  <si>
    <t>2014-06-18T00:00:00</t>
  </si>
  <si>
    <t>2016-09-15T00:00:00</t>
  </si>
  <si>
    <t>2017-01-27T00:00:00</t>
  </si>
  <si>
    <t>2007-03-26T00:00:00</t>
  </si>
  <si>
    <t>2016-05-31T00:00:00</t>
  </si>
  <si>
    <t>2017-04-28T00:00:00</t>
  </si>
  <si>
    <t>2024-05-15T00:00:00</t>
  </si>
  <si>
    <t>2024-08-01T00:00:00</t>
  </si>
  <si>
    <t>2017-09-15T00:00:00</t>
  </si>
  <si>
    <t>2018-03-15T00:00:00</t>
  </si>
  <si>
    <t>2011-08-22T00:00:00</t>
  </si>
  <si>
    <t>2011-12-14T00:00:00</t>
  </si>
  <si>
    <t>Scottsdale HOME FY10-11</t>
  </si>
  <si>
    <t>2017-01-31T00:00:00</t>
  </si>
  <si>
    <t>2017-10-20T00:00:00</t>
  </si>
  <si>
    <t>2018-03-13T00:00:00</t>
  </si>
  <si>
    <t>Tempe CHDO HOME FY16-17</t>
  </si>
  <si>
    <t>2010-08-10T00:00:00</t>
  </si>
  <si>
    <t>2011-02-03T00:00:00</t>
  </si>
  <si>
    <t>2004-05-12T00:00:00</t>
  </si>
  <si>
    <t>2004-08-23T00:00:00</t>
  </si>
  <si>
    <t>2023-05-17T00:00:00</t>
  </si>
  <si>
    <t>2009-12-18T00:00:00</t>
  </si>
  <si>
    <t>2010-03-30T00:00:00</t>
  </si>
  <si>
    <t>2004-11-19T00:00:00</t>
  </si>
  <si>
    <t>2005-03-18T00:00:00</t>
  </si>
  <si>
    <t>2008-06-24T00:00:00</t>
  </si>
  <si>
    <t>2008-08-29T00:00:00</t>
  </si>
  <si>
    <t>Tempe CHDO HOME FY07-08</t>
  </si>
  <si>
    <t>2024-09-10T00:00:00</t>
  </si>
  <si>
    <t>2024-11-20T00:00:00</t>
  </si>
  <si>
    <t>2023-07-03T00:00:00</t>
  </si>
  <si>
    <t>2016-11-18T00:00:00</t>
  </si>
  <si>
    <t>2017-06-23T00:00:00</t>
  </si>
  <si>
    <t>2008-10-30T00:00:00</t>
  </si>
  <si>
    <t>2009-03-31T00:00:00</t>
  </si>
  <si>
    <t>2021-05-18T00:00:00</t>
  </si>
  <si>
    <t>2019-06-12T00:00:00</t>
  </si>
  <si>
    <t>2019-11-27T00:00:00</t>
  </si>
  <si>
    <t>2022-06-30T00:00:00</t>
  </si>
  <si>
    <t>2008-10-17T00:00:00</t>
  </si>
  <si>
    <t>2008-12-18T00:00:00</t>
  </si>
  <si>
    <t>2021-12-27T00:00:00</t>
  </si>
  <si>
    <t>2006-09-08T00:00:00</t>
  </si>
  <si>
    <t>2006-12-05T00:00:00</t>
  </si>
  <si>
    <t>2005-02-25T00:00:00</t>
  </si>
  <si>
    <t>2005-06-01T00:00:00</t>
  </si>
  <si>
    <t>2017-11-13T00:00:00</t>
  </si>
  <si>
    <t>2019-09-27T00:00:00</t>
  </si>
  <si>
    <t>2020-04-24T00:00:00</t>
  </si>
  <si>
    <t>2013-12-27T00:00:00</t>
  </si>
  <si>
    <t>2014-10-31T00:00:00</t>
  </si>
  <si>
    <t>Chandler NSP-3</t>
  </si>
  <si>
    <t>2008-08-15T00:00:00</t>
  </si>
  <si>
    <t>2008-11-20T00:00:00</t>
  </si>
  <si>
    <t>2020-06-01T00:00:00</t>
  </si>
  <si>
    <t>2020-08-27T00:00:00</t>
  </si>
  <si>
    <t>Chandler HOME FY18-19</t>
  </si>
  <si>
    <t>2025-01-29T00:00:00</t>
  </si>
  <si>
    <t>2025-05-22T00:00:00</t>
  </si>
  <si>
    <t>2017-12-22T00:00:00</t>
  </si>
  <si>
    <t>2018-05-01T00:00:00</t>
  </si>
  <si>
    <t>Chandler HOME FY15-16</t>
  </si>
  <si>
    <t>2013-11-05T00:00:00</t>
  </si>
  <si>
    <t>2025-03-26T00:00:00</t>
  </si>
  <si>
    <t>2021-11-12T00:00:00</t>
  </si>
  <si>
    <t>2022-02-09T00:00:00</t>
  </si>
  <si>
    <t>2012-12-19T00:00:00</t>
  </si>
  <si>
    <t>2013-09-11T00:00:00</t>
  </si>
  <si>
    <t>2022-11-09T00:00:00</t>
  </si>
  <si>
    <t>2023-02-08T00:00:00</t>
  </si>
  <si>
    <t>2016-02-22T00:00:00</t>
  </si>
  <si>
    <t>2016-03-16T00:00:00</t>
  </si>
  <si>
    <t>2016-12-16T00:00:00</t>
  </si>
  <si>
    <t>2022-03-10T00:00:00</t>
  </si>
  <si>
    <t>2013-03-04T00:00:00</t>
  </si>
  <si>
    <t>2024-12-18T00:00:00</t>
  </si>
  <si>
    <t>2025-02-20T00:00:00</t>
  </si>
  <si>
    <t>2012-11-14T00:00:00</t>
  </si>
  <si>
    <t>2013-03-05T00:00:00</t>
  </si>
  <si>
    <t>2021-05-27T00:00:00</t>
  </si>
  <si>
    <t>2021-08-27T00:00:00</t>
  </si>
  <si>
    <t>2005-12-16T00:00:00</t>
  </si>
  <si>
    <t>2006-03-17T00:00:00</t>
  </si>
  <si>
    <t>2023-08-31T00:00:00</t>
  </si>
  <si>
    <t>2011-12-27T00:00:00</t>
  </si>
  <si>
    <t>2012-06-26T00:00:00</t>
  </si>
  <si>
    <t>2014-08-15T00:00:00</t>
  </si>
  <si>
    <t>2015-08-03T00:00:00</t>
  </si>
  <si>
    <t>2008-11-17T00:00:00</t>
  </si>
  <si>
    <t>2009-01-23T00:00:00</t>
  </si>
  <si>
    <t>2015-06-16T00:00:00</t>
  </si>
  <si>
    <t>2024-06-26T00:00:00</t>
  </si>
  <si>
    <t>2009-03-20T00:00:00</t>
  </si>
  <si>
    <t>2009-05-20T00:00:00</t>
  </si>
  <si>
    <t>2024-05-22T00:00:00</t>
  </si>
  <si>
    <t>2019-07-24T00:00:00</t>
  </si>
  <si>
    <t>2014-06-30T00:00:00</t>
  </si>
  <si>
    <t>2010-07-20T00:00:00</t>
  </si>
  <si>
    <t>2011-12-23T00:00:00</t>
  </si>
  <si>
    <t>2019-06-07T00:00:00</t>
  </si>
  <si>
    <t>2014-03-12T00:00:00</t>
  </si>
  <si>
    <t>2014-05-30T00:00:00</t>
  </si>
  <si>
    <t>Chandler HOME FY10-11</t>
  </si>
  <si>
    <t>2023-11-01T00:00:00</t>
  </si>
  <si>
    <t>2021-05-20T00:00:00</t>
  </si>
  <si>
    <t>2021-10-07T00:00:00</t>
  </si>
  <si>
    <t>2009-08-27T00:00:00</t>
  </si>
  <si>
    <t>2009-11-16T00:00:00</t>
  </si>
  <si>
    <t>2011-08-18T00:00:00</t>
  </si>
  <si>
    <t>2009-04-17T00:00:00</t>
  </si>
  <si>
    <t>2009-06-29T00:00:00</t>
  </si>
  <si>
    <t>2020-04-14T00:00:00</t>
  </si>
  <si>
    <t>2010-03-09T00:00:00</t>
  </si>
  <si>
    <t>2010-06-30T00:00:00</t>
  </si>
  <si>
    <t>2018-12-07T00:00:00</t>
  </si>
  <si>
    <t>2024-04-04T00:00:00</t>
  </si>
  <si>
    <t>2024-07-31T00:00:00</t>
  </si>
  <si>
    <t>2014-02-05T00:00:00</t>
  </si>
  <si>
    <t>2014-06-20T00:00:00</t>
  </si>
  <si>
    <t>2023-04-28T00:00:00</t>
  </si>
  <si>
    <t>2023-06-23T00:00:00</t>
  </si>
  <si>
    <t>2010-10-29T00:00:00</t>
  </si>
  <si>
    <t>2012-02-10T00:00:00</t>
  </si>
  <si>
    <t>2012-07-05T00:00:00</t>
  </si>
  <si>
    <t>2006-12-19T00:00:00</t>
  </si>
  <si>
    <t>2013-06-17T00:00:00</t>
  </si>
  <si>
    <t>2013-08-30T00:00:00</t>
  </si>
  <si>
    <t>2025-06-25T00:00:00</t>
  </si>
  <si>
    <t>2010-09-21T00:00:00</t>
  </si>
  <si>
    <t>2011-01-11T00:00:00</t>
  </si>
  <si>
    <t>2023-02-28T00:00:00</t>
  </si>
  <si>
    <t>2023-04-26T00:00:00</t>
  </si>
  <si>
    <t>2024-02-08T00:00:00</t>
  </si>
  <si>
    <t>2005-08-22T00:00:00</t>
  </si>
  <si>
    <t>2005-11-14T00:00:00</t>
  </si>
  <si>
    <t>2011-09-01T00:00:00</t>
  </si>
  <si>
    <t>2011-11-07T00:00:00</t>
  </si>
  <si>
    <t>2019-04-30T00:00:00</t>
  </si>
  <si>
    <t>2015-11-13T00:00:00</t>
  </si>
  <si>
    <t>2016-05-13T00:00:00</t>
  </si>
  <si>
    <t>Tempe CHDO HOME FY12-13 $24221.72
Tempe CHDO HOME FY13-14 $3169.99</t>
  </si>
  <si>
    <t>2011-07-11T00:00:00</t>
  </si>
  <si>
    <t>2012-01-20T00:00:00</t>
  </si>
  <si>
    <t>2021-01-29T00:00:00</t>
  </si>
  <si>
    <t>2007-09-10T00:00:00</t>
  </si>
  <si>
    <t>2022-02-11T00:00:00</t>
  </si>
  <si>
    <t>2013-05-22T00:00:00</t>
  </si>
  <si>
    <t>2013-08-12T00:00:00</t>
  </si>
  <si>
    <t>2017-08-25T00:00:00</t>
  </si>
  <si>
    <t>2017-10-31T00:00:00</t>
  </si>
  <si>
    <t>2010-12-10T00:00:00</t>
  </si>
  <si>
    <t>2012-02-29T00:00:00</t>
  </si>
  <si>
    <t>2013-08-29T00:00:00</t>
  </si>
  <si>
    <t>2014-04-25T00:00:00</t>
  </si>
  <si>
    <t>2012-03-29T00:00:00</t>
  </si>
  <si>
    <t>2013-01-09T00:00:00</t>
  </si>
  <si>
    <t>Scottsdale CHDO HOME FY11-12</t>
  </si>
  <si>
    <t>2013-07-25T00:00:00</t>
  </si>
  <si>
    <t>2013-11-27T00:00:00</t>
  </si>
  <si>
    <t>2012-09-21T00:00:00</t>
  </si>
  <si>
    <t>2013-05-03T00:00:00</t>
  </si>
  <si>
    <t>2010-06-25T00:00:00</t>
  </si>
  <si>
    <t>2008-07-18T00:00:00</t>
  </si>
  <si>
    <t>2008-12-19T00:00:00</t>
  </si>
  <si>
    <t>2014-02-14T00:00:00</t>
  </si>
  <si>
    <t>2015-03-30T00:00:00</t>
  </si>
  <si>
    <t>2013-09-27T00:00:00</t>
  </si>
  <si>
    <t>2014-04-29T00:00:00</t>
  </si>
  <si>
    <t>2012-11-30T00:00:00</t>
  </si>
  <si>
    <t>2013-04-24T00:00:00</t>
  </si>
  <si>
    <t>2007-04-10T00:00:00</t>
  </si>
  <si>
    <t>2022-02-23T00:00:00</t>
  </si>
  <si>
    <t>2022-07-28T00:00:00</t>
  </si>
  <si>
    <t>2015-12-30T00:00:00</t>
  </si>
  <si>
    <t>2016-07-14T00:00:00</t>
  </si>
  <si>
    <t>Chandler CHDO HOME FY12-13 $72330
Chandler  HOME FY13-14 CSA $9778.43</t>
  </si>
  <si>
    <t>2012-02-27T00:00:00</t>
  </si>
  <si>
    <t>2012-05-31T00:00:00</t>
  </si>
  <si>
    <t>2022-11-29T00:00:00</t>
  </si>
  <si>
    <t>2010-05-03T00:00:00</t>
  </si>
  <si>
    <t>2011-04-22T00:00:00</t>
  </si>
  <si>
    <t>Glendale HOME FY09-10</t>
  </si>
  <si>
    <t>2011-12-28T00:00:00</t>
  </si>
  <si>
    <t>2012-05-18T00:00:00</t>
  </si>
  <si>
    <t>2016-01-15T00:00:00</t>
  </si>
  <si>
    <t>2016-09-27T00:00:00</t>
  </si>
  <si>
    <t>2009-08-26T00:00:00</t>
  </si>
  <si>
    <t>2009-11-02T00:00:00</t>
  </si>
  <si>
    <t>2018-02-12T00:00:00</t>
  </si>
  <si>
    <t>2012-06-28T00:00:00</t>
  </si>
  <si>
    <t>2013-07-02T00:00:00</t>
  </si>
  <si>
    <t>2009-10-30T00:00:00</t>
  </si>
  <si>
    <t>2009-12-30T00:00:00</t>
  </si>
  <si>
    <t>2014-05-15T00:00:00</t>
  </si>
  <si>
    <t>2015-01-12T00:00:00</t>
  </si>
  <si>
    <t>Scottsdale CHDO HOME FY08-09</t>
  </si>
  <si>
    <t>2019-06-14T00:00:00</t>
  </si>
  <si>
    <t>2014-01-24T00:00:00</t>
  </si>
  <si>
    <t>2011-08-31T00:00:00</t>
  </si>
  <si>
    <t>2021-08-24T00:00:00</t>
  </si>
  <si>
    <t>2022-05-06T00:00:00</t>
  </si>
  <si>
    <t>2016-06-10T00:00:00</t>
  </si>
  <si>
    <t>2016-09-30T00:00:00</t>
  </si>
  <si>
    <t>2015-06-05T00:00:00</t>
  </si>
  <si>
    <t>2016-01-28T00:00:00</t>
  </si>
  <si>
    <t>2012-04-18T00:00:00</t>
  </si>
  <si>
    <t>2023-03-02T00:00:00</t>
  </si>
  <si>
    <t>2023-06-21T00:00:00</t>
  </si>
  <si>
    <t>2006-05-18T00:00:00</t>
  </si>
  <si>
    <t>2015-05-06T00:00:00</t>
  </si>
  <si>
    <t>2024-04-26T00:00:00</t>
  </si>
  <si>
    <t>2024-08-09T00:00:00</t>
  </si>
  <si>
    <t>2010-05-14T00:00:00</t>
  </si>
  <si>
    <t>2010-09-09T00:00:00</t>
  </si>
  <si>
    <t>Tempe CHDO HOME FY08-09 $51034.6
ADOH CHDO HOME FY08-09 $35K</t>
  </si>
  <si>
    <t>2013-09-25T00:00:00</t>
  </si>
  <si>
    <t>2016-06-24T00:00:00</t>
  </si>
  <si>
    <t>2016-10-18T00:00:00</t>
  </si>
  <si>
    <t>2013-09-24T00:00:00</t>
  </si>
  <si>
    <t>2014-02-28T00:00:00</t>
  </si>
  <si>
    <t>2023-02-02T00:00:00</t>
  </si>
  <si>
    <t>2010-11-04T00:00:00</t>
  </si>
  <si>
    <t>2016-03-31T00:00:00</t>
  </si>
  <si>
    <t>2013-06-03T00:00:00</t>
  </si>
  <si>
    <t>2013-09-30T00:00:00</t>
  </si>
  <si>
    <t>2017-08-31T00:00:00</t>
  </si>
  <si>
    <t>2021-11-24T00:00:00</t>
  </si>
  <si>
    <t>2012-02-24T00:00:00</t>
  </si>
  <si>
    <t>2012-07-12T00:00:00</t>
  </si>
  <si>
    <t>2023-10-05T00:00:00</t>
  </si>
  <si>
    <t>2024-02-20T00:00:00</t>
  </si>
  <si>
    <t>2013-05-10T00:00:00</t>
  </si>
  <si>
    <t>2014-06-05T00:00:00</t>
  </si>
  <si>
    <t>2019-10-02T00:00:00</t>
  </si>
  <si>
    <t>2022-07-27T00:00:00</t>
  </si>
  <si>
    <t>2024-07-17T00:00:00</t>
  </si>
  <si>
    <t>2024-03-28T00:00:00</t>
  </si>
  <si>
    <t>2014-01-17T00:00:00</t>
  </si>
  <si>
    <t>2014-05-14T00:00:00</t>
  </si>
  <si>
    <t>2022-08-04T00:00:00</t>
  </si>
  <si>
    <t>2022-10-31T00:00:00</t>
  </si>
  <si>
    <t>2015-06-19T00:00:00</t>
  </si>
  <si>
    <t>2015-10-02T00:00:00</t>
  </si>
  <si>
    <t>2023-04-12T00:00:00</t>
  </si>
  <si>
    <t>2004-02-27T00:00:00</t>
  </si>
  <si>
    <t>2014-02-27T00:00:00</t>
  </si>
  <si>
    <t>2024-05-30T00:00:00</t>
  </si>
  <si>
    <t>2024-09-30T00:00:00</t>
  </si>
  <si>
    <t>2024-11-14T00:00:00</t>
  </si>
  <si>
    <t>2025-01-30T00:00:00</t>
  </si>
  <si>
    <t>2006-10-18T00:00:00</t>
  </si>
  <si>
    <t>2007-12-17T00:00:00</t>
  </si>
  <si>
    <t>Tempe Land-2</t>
  </si>
  <si>
    <t>2014-11-10T00:00:00</t>
  </si>
  <si>
    <t>2020-04-17T00:00:00</t>
  </si>
  <si>
    <t>2024-12-20T00:00:00</t>
  </si>
  <si>
    <t>2025-04-04T00:00:00</t>
  </si>
  <si>
    <t>2023-12-14T00:00:00</t>
  </si>
  <si>
    <t>2024-04-17T00:00:00</t>
  </si>
  <si>
    <t>2023-07-21T00:00:00</t>
  </si>
  <si>
    <t>2013-07-30T00:00:00</t>
  </si>
  <si>
    <t>2013-10-18T00:00:00</t>
  </si>
  <si>
    <t>2020-01-01</t>
  </si>
  <si>
    <t>2020-11-10</t>
  </si>
  <si>
    <t>acquisition_criteria_type</t>
  </si>
  <si>
    <t>acquisition_strategy_description</t>
  </si>
  <si>
    <t>exclusion_criteria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</si>
</sst>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92DD98CF-3CB7-4E69-871C-7D443E3A65A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370</xdr:row>
      <xdr:rowOff>41910</xdr:rowOff>
    </xdr:from>
    <xdr:to>
      <xdr:col>11</xdr:col>
      <xdr:colOff>571500</xdr:colOff>
      <xdr:row>385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BD10202-CF29-86D8-DCE6-A7A47E52D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6020" y="67707510"/>
              <a:ext cx="4831080" cy="2830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5"/>
  <sheetViews>
    <sheetView zoomScale="78" zoomScaleNormal="78" workbookViewId="0">
      <pane ySplit="1" topLeftCell="A209" activePane="bottomLeft" state="frozen"/>
      <selection pane="bottomLeft" activeCell="T13" sqref="T13"/>
    </sheetView>
  </sheetViews>
  <sheetFormatPr defaultRowHeight="14.4" x14ac:dyDescent="0.3"/>
  <cols>
    <col min="1" max="1" width="25.6640625" customWidth="1"/>
    <col min="12" max="12" width="11.21875" customWidth="1"/>
    <col min="19" max="19" width="16.44140625" customWidth="1"/>
  </cols>
  <sheetData>
    <row r="1" spans="1:19" s="3" customFormat="1" ht="28.8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</v>
      </c>
    </row>
    <row r="2" spans="1:19" x14ac:dyDescent="0.3">
      <c r="A2" t="s">
        <v>19</v>
      </c>
      <c r="B2">
        <v>86001</v>
      </c>
      <c r="C2" t="s">
        <v>20</v>
      </c>
      <c r="D2" t="s">
        <v>21</v>
      </c>
      <c r="E2" t="s">
        <v>22</v>
      </c>
      <c r="F2" t="s">
        <v>23</v>
      </c>
      <c r="G2" t="s">
        <v>20</v>
      </c>
      <c r="I2" t="s">
        <v>24</v>
      </c>
      <c r="J2" t="s">
        <v>24</v>
      </c>
      <c r="K2">
        <v>2005</v>
      </c>
      <c r="L2" t="s">
        <v>25</v>
      </c>
      <c r="M2">
        <v>1360</v>
      </c>
      <c r="N2" s="5">
        <v>0</v>
      </c>
      <c r="O2" s="5">
        <v>0</v>
      </c>
      <c r="Q2">
        <v>35.184240699999997</v>
      </c>
      <c r="R2">
        <v>-111.6389951</v>
      </c>
    </row>
    <row r="3" spans="1:19" x14ac:dyDescent="0.3">
      <c r="A3" t="s">
        <v>26</v>
      </c>
      <c r="B3">
        <v>86001</v>
      </c>
      <c r="C3" t="s">
        <v>20</v>
      </c>
      <c r="D3" t="s">
        <v>21</v>
      </c>
      <c r="E3" t="s">
        <v>22</v>
      </c>
      <c r="F3" t="s">
        <v>23</v>
      </c>
      <c r="G3" t="s">
        <v>20</v>
      </c>
      <c r="I3" t="s">
        <v>24</v>
      </c>
      <c r="J3" t="s">
        <v>24</v>
      </c>
      <c r="K3">
        <v>2005</v>
      </c>
      <c r="L3" t="s">
        <v>27</v>
      </c>
      <c r="M3">
        <v>1612</v>
      </c>
      <c r="N3">
        <v>3</v>
      </c>
      <c r="O3">
        <v>3</v>
      </c>
      <c r="P3" t="s">
        <v>28</v>
      </c>
      <c r="Q3">
        <v>35.183946499999998</v>
      </c>
      <c r="R3">
        <v>-111.6386042</v>
      </c>
    </row>
    <row r="4" spans="1:19" x14ac:dyDescent="0.3">
      <c r="A4" t="s">
        <v>29</v>
      </c>
      <c r="B4">
        <v>86001</v>
      </c>
      <c r="C4" t="s">
        <v>20</v>
      </c>
      <c r="D4" t="s">
        <v>21</v>
      </c>
      <c r="E4" t="s">
        <v>22</v>
      </c>
      <c r="F4" t="s">
        <v>23</v>
      </c>
      <c r="G4" t="s">
        <v>20</v>
      </c>
      <c r="I4" t="s">
        <v>24</v>
      </c>
      <c r="J4" t="s">
        <v>24</v>
      </c>
      <c r="K4">
        <v>2005</v>
      </c>
      <c r="L4" t="s">
        <v>27</v>
      </c>
      <c r="M4">
        <v>1428</v>
      </c>
      <c r="N4">
        <v>3</v>
      </c>
      <c r="O4">
        <v>2.5</v>
      </c>
      <c r="P4" t="s">
        <v>28</v>
      </c>
      <c r="Q4">
        <v>35.183760399999997</v>
      </c>
      <c r="R4">
        <v>-111.6383546</v>
      </c>
    </row>
    <row r="5" spans="1:19" x14ac:dyDescent="0.3">
      <c r="A5" t="s">
        <v>30</v>
      </c>
      <c r="B5">
        <v>86001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I5" t="s">
        <v>24</v>
      </c>
      <c r="J5" t="s">
        <v>24</v>
      </c>
      <c r="K5">
        <v>2005</v>
      </c>
      <c r="L5" t="s">
        <v>27</v>
      </c>
      <c r="M5">
        <v>1428</v>
      </c>
      <c r="N5">
        <v>3</v>
      </c>
      <c r="O5">
        <v>2</v>
      </c>
      <c r="Q5">
        <v>35.184828699999997</v>
      </c>
      <c r="R5">
        <v>-111.638457</v>
      </c>
    </row>
    <row r="6" spans="1:19" x14ac:dyDescent="0.3">
      <c r="A6" t="s">
        <v>31</v>
      </c>
      <c r="B6">
        <v>86001</v>
      </c>
      <c r="C6" t="s">
        <v>20</v>
      </c>
      <c r="D6" t="s">
        <v>21</v>
      </c>
      <c r="E6" t="s">
        <v>22</v>
      </c>
      <c r="F6" t="s">
        <v>23</v>
      </c>
      <c r="G6" t="s">
        <v>20</v>
      </c>
      <c r="I6" t="s">
        <v>24</v>
      </c>
      <c r="J6" t="s">
        <v>24</v>
      </c>
      <c r="K6">
        <v>2005</v>
      </c>
      <c r="L6" t="s">
        <v>27</v>
      </c>
      <c r="M6">
        <v>1360</v>
      </c>
      <c r="N6">
        <v>3</v>
      </c>
      <c r="O6">
        <v>2.5</v>
      </c>
      <c r="Q6">
        <v>35.184508299999997</v>
      </c>
      <c r="R6">
        <v>-111.6382235</v>
      </c>
    </row>
    <row r="7" spans="1:19" x14ac:dyDescent="0.3">
      <c r="A7" t="s">
        <v>32</v>
      </c>
      <c r="B7">
        <v>86001</v>
      </c>
      <c r="C7" t="s">
        <v>20</v>
      </c>
      <c r="D7" t="s">
        <v>21</v>
      </c>
      <c r="E7" t="s">
        <v>22</v>
      </c>
      <c r="F7" t="s">
        <v>23</v>
      </c>
      <c r="G7" t="s">
        <v>20</v>
      </c>
      <c r="I7" t="s">
        <v>24</v>
      </c>
      <c r="J7" t="s">
        <v>24</v>
      </c>
      <c r="K7">
        <v>2006</v>
      </c>
      <c r="L7" t="s">
        <v>27</v>
      </c>
      <c r="M7">
        <v>1428</v>
      </c>
      <c r="N7">
        <v>3</v>
      </c>
      <c r="O7">
        <v>2</v>
      </c>
      <c r="Q7">
        <v>35.184192699999997</v>
      </c>
      <c r="R7">
        <v>-111.6377193</v>
      </c>
    </row>
    <row r="8" spans="1:19" x14ac:dyDescent="0.3">
      <c r="A8" t="s">
        <v>33</v>
      </c>
      <c r="B8">
        <v>86001</v>
      </c>
      <c r="C8" t="s">
        <v>20</v>
      </c>
      <c r="D8" t="s">
        <v>21</v>
      </c>
      <c r="E8" t="s">
        <v>22</v>
      </c>
      <c r="F8" t="s">
        <v>23</v>
      </c>
      <c r="G8" t="s">
        <v>20</v>
      </c>
      <c r="I8" t="s">
        <v>24</v>
      </c>
      <c r="J8" t="s">
        <v>24</v>
      </c>
      <c r="K8">
        <v>2006</v>
      </c>
      <c r="L8" t="s">
        <v>34</v>
      </c>
      <c r="M8">
        <v>1428</v>
      </c>
      <c r="N8" s="5">
        <v>0</v>
      </c>
      <c r="O8" s="5">
        <v>0</v>
      </c>
      <c r="Q8">
        <v>35.184614600000003</v>
      </c>
      <c r="R8">
        <v>-111.6372167</v>
      </c>
    </row>
    <row r="9" spans="1:19" x14ac:dyDescent="0.3">
      <c r="A9" t="s">
        <v>35</v>
      </c>
      <c r="B9">
        <v>86001</v>
      </c>
      <c r="C9" t="s">
        <v>20</v>
      </c>
      <c r="D9" t="s">
        <v>21</v>
      </c>
      <c r="E9" t="s">
        <v>22</v>
      </c>
      <c r="F9" t="s">
        <v>23</v>
      </c>
      <c r="G9" t="s">
        <v>20</v>
      </c>
      <c r="I9" t="s">
        <v>24</v>
      </c>
      <c r="J9" t="s">
        <v>24</v>
      </c>
      <c r="K9">
        <v>2006</v>
      </c>
      <c r="L9" t="s">
        <v>34</v>
      </c>
      <c r="M9">
        <v>1428</v>
      </c>
      <c r="N9">
        <v>3</v>
      </c>
      <c r="O9">
        <v>2</v>
      </c>
      <c r="Q9">
        <v>35.185544999999998</v>
      </c>
      <c r="R9">
        <v>-111.63622100000001</v>
      </c>
    </row>
    <row r="10" spans="1:19" x14ac:dyDescent="0.3">
      <c r="A10" t="s">
        <v>36</v>
      </c>
      <c r="B10">
        <v>86001</v>
      </c>
      <c r="C10" t="s">
        <v>20</v>
      </c>
      <c r="D10" t="s">
        <v>21</v>
      </c>
      <c r="E10" t="s">
        <v>22</v>
      </c>
      <c r="F10" t="s">
        <v>23</v>
      </c>
      <c r="G10" t="s">
        <v>20</v>
      </c>
      <c r="I10" t="s">
        <v>24</v>
      </c>
      <c r="J10" t="s">
        <v>24</v>
      </c>
      <c r="K10">
        <v>0</v>
      </c>
      <c r="L10" t="s">
        <v>37</v>
      </c>
      <c r="M10">
        <v>1184</v>
      </c>
      <c r="N10" s="5">
        <v>0</v>
      </c>
      <c r="O10" s="5">
        <v>0</v>
      </c>
      <c r="Q10">
        <v>35.192342199999999</v>
      </c>
      <c r="R10">
        <v>-111.6468303</v>
      </c>
    </row>
    <row r="11" spans="1:19" x14ac:dyDescent="0.3">
      <c r="A11" t="s">
        <v>38</v>
      </c>
      <c r="B11">
        <v>86004</v>
      </c>
      <c r="C11" t="s">
        <v>20</v>
      </c>
      <c r="D11" t="s">
        <v>21</v>
      </c>
      <c r="E11" t="s">
        <v>22</v>
      </c>
      <c r="F11" t="s">
        <v>23</v>
      </c>
      <c r="G11" t="s">
        <v>20</v>
      </c>
      <c r="I11" t="s">
        <v>24</v>
      </c>
      <c r="J11" t="s">
        <v>24</v>
      </c>
      <c r="K11">
        <v>2008</v>
      </c>
      <c r="L11" t="s">
        <v>37</v>
      </c>
      <c r="M11">
        <v>1304</v>
      </c>
      <c r="N11" s="5">
        <v>0</v>
      </c>
      <c r="O11" s="5">
        <v>0</v>
      </c>
      <c r="Q11">
        <v>35.214289600000001</v>
      </c>
      <c r="R11">
        <v>-111.6157314</v>
      </c>
    </row>
    <row r="12" spans="1:19" x14ac:dyDescent="0.3">
      <c r="A12" t="s">
        <v>39</v>
      </c>
      <c r="B12">
        <v>86004</v>
      </c>
      <c r="C12" t="s">
        <v>20</v>
      </c>
      <c r="D12" t="s">
        <v>21</v>
      </c>
      <c r="E12" t="s">
        <v>22</v>
      </c>
      <c r="F12" t="s">
        <v>23</v>
      </c>
      <c r="G12" t="s">
        <v>20</v>
      </c>
      <c r="I12" t="s">
        <v>24</v>
      </c>
      <c r="J12" t="s">
        <v>24</v>
      </c>
      <c r="K12">
        <v>2008</v>
      </c>
      <c r="L12" t="s">
        <v>37</v>
      </c>
      <c r="M12">
        <v>1317</v>
      </c>
      <c r="N12">
        <v>3</v>
      </c>
      <c r="O12" s="5">
        <v>0</v>
      </c>
      <c r="Q12">
        <v>35.214286000000001</v>
      </c>
      <c r="R12">
        <v>-111.61557879999999</v>
      </c>
    </row>
    <row r="13" spans="1:19" x14ac:dyDescent="0.3">
      <c r="A13" t="s">
        <v>40</v>
      </c>
      <c r="B13">
        <v>86004</v>
      </c>
      <c r="C13" t="s">
        <v>20</v>
      </c>
      <c r="D13" t="s">
        <v>21</v>
      </c>
      <c r="E13" t="s">
        <v>22</v>
      </c>
      <c r="F13" t="s">
        <v>23</v>
      </c>
      <c r="G13" t="s">
        <v>20</v>
      </c>
      <c r="I13" t="s">
        <v>24</v>
      </c>
      <c r="J13" t="s">
        <v>24</v>
      </c>
      <c r="K13">
        <v>2008</v>
      </c>
      <c r="L13" t="s">
        <v>37</v>
      </c>
      <c r="M13">
        <v>1304</v>
      </c>
      <c r="N13" s="5">
        <v>0</v>
      </c>
      <c r="O13" s="5">
        <v>0</v>
      </c>
      <c r="Q13">
        <v>35.2142841</v>
      </c>
      <c r="R13">
        <v>-111.6154226</v>
      </c>
    </row>
    <row r="14" spans="1:19" x14ac:dyDescent="0.3">
      <c r="A14" s="4" t="s">
        <v>41</v>
      </c>
      <c r="B14">
        <v>86004</v>
      </c>
      <c r="C14" t="s">
        <v>20</v>
      </c>
      <c r="D14" t="s">
        <v>21</v>
      </c>
      <c r="E14" t="s">
        <v>22</v>
      </c>
      <c r="F14" t="s">
        <v>23</v>
      </c>
      <c r="G14" t="s">
        <v>20</v>
      </c>
      <c r="K14">
        <v>2006</v>
      </c>
      <c r="L14" t="s">
        <v>37</v>
      </c>
      <c r="M14">
        <v>2056</v>
      </c>
    </row>
    <row r="15" spans="1:19" x14ac:dyDescent="0.3">
      <c r="A15" t="s">
        <v>42</v>
      </c>
      <c r="B15">
        <v>86004</v>
      </c>
      <c r="C15" t="s">
        <v>20</v>
      </c>
      <c r="D15" t="s">
        <v>21</v>
      </c>
      <c r="E15" t="s">
        <v>22</v>
      </c>
      <c r="F15" t="s">
        <v>23</v>
      </c>
      <c r="G15" t="s">
        <v>20</v>
      </c>
      <c r="I15" t="s">
        <v>24</v>
      </c>
      <c r="J15" t="s">
        <v>24</v>
      </c>
      <c r="K15">
        <v>2006</v>
      </c>
      <c r="L15" t="s">
        <v>37</v>
      </c>
      <c r="M15">
        <v>0</v>
      </c>
      <c r="N15" s="5">
        <v>0</v>
      </c>
      <c r="O15" s="5">
        <v>0</v>
      </c>
      <c r="Q15">
        <v>35.213198300000002</v>
      </c>
      <c r="R15">
        <v>-111.6221898</v>
      </c>
    </row>
    <row r="16" spans="1:19" x14ac:dyDescent="0.3">
      <c r="A16" t="s">
        <v>43</v>
      </c>
      <c r="B16">
        <v>86004</v>
      </c>
      <c r="C16" t="s">
        <v>20</v>
      </c>
      <c r="D16" t="s">
        <v>21</v>
      </c>
      <c r="E16" t="s">
        <v>22</v>
      </c>
      <c r="F16" t="s">
        <v>23</v>
      </c>
      <c r="G16" t="s">
        <v>20</v>
      </c>
      <c r="I16" t="s">
        <v>24</v>
      </c>
      <c r="J16" t="s">
        <v>24</v>
      </c>
      <c r="K16">
        <v>2006</v>
      </c>
      <c r="L16" t="s">
        <v>37</v>
      </c>
      <c r="M16">
        <v>0</v>
      </c>
      <c r="N16" s="5">
        <v>0</v>
      </c>
      <c r="O16" s="5">
        <v>0</v>
      </c>
      <c r="Q16">
        <v>35.213111699999999</v>
      </c>
      <c r="R16">
        <v>-111.6220454</v>
      </c>
    </row>
    <row r="17" spans="1:21" x14ac:dyDescent="0.3">
      <c r="A17" t="s">
        <v>44</v>
      </c>
      <c r="B17">
        <v>86004</v>
      </c>
      <c r="C17" t="s">
        <v>20</v>
      </c>
      <c r="D17" t="s">
        <v>21</v>
      </c>
      <c r="E17" t="s">
        <v>22</v>
      </c>
      <c r="F17" t="s">
        <v>23</v>
      </c>
      <c r="G17" t="s">
        <v>20</v>
      </c>
      <c r="I17" t="s">
        <v>24</v>
      </c>
      <c r="J17" t="s">
        <v>24</v>
      </c>
      <c r="K17">
        <v>2006</v>
      </c>
      <c r="L17" t="s">
        <v>37</v>
      </c>
      <c r="M17">
        <v>0</v>
      </c>
      <c r="N17" s="5">
        <v>0</v>
      </c>
      <c r="O17" s="5">
        <v>0</v>
      </c>
      <c r="Q17">
        <v>35.213421799999999</v>
      </c>
      <c r="R17">
        <v>-111.6220546</v>
      </c>
    </row>
    <row r="18" spans="1:21" x14ac:dyDescent="0.3">
      <c r="A18" t="s">
        <v>45</v>
      </c>
      <c r="B18">
        <v>86004</v>
      </c>
      <c r="C18" t="s">
        <v>20</v>
      </c>
      <c r="D18" t="s">
        <v>21</v>
      </c>
      <c r="E18" t="s">
        <v>22</v>
      </c>
      <c r="F18" t="s">
        <v>23</v>
      </c>
      <c r="G18" t="s">
        <v>20</v>
      </c>
      <c r="I18" t="s">
        <v>24</v>
      </c>
      <c r="J18" t="s">
        <v>24</v>
      </c>
      <c r="K18">
        <v>2006</v>
      </c>
      <c r="L18" t="s">
        <v>37</v>
      </c>
      <c r="M18">
        <v>1212</v>
      </c>
      <c r="N18" s="5">
        <v>0</v>
      </c>
      <c r="O18" s="5">
        <v>0</v>
      </c>
      <c r="Q18">
        <v>35.213313800000002</v>
      </c>
      <c r="R18">
        <v>-111.6222042</v>
      </c>
    </row>
    <row r="19" spans="1:21" x14ac:dyDescent="0.3">
      <c r="A19" t="s">
        <v>46</v>
      </c>
      <c r="B19">
        <v>86004</v>
      </c>
      <c r="C19" t="s">
        <v>20</v>
      </c>
      <c r="D19" t="s">
        <v>21</v>
      </c>
      <c r="E19" t="s">
        <v>22</v>
      </c>
      <c r="F19" t="s">
        <v>23</v>
      </c>
      <c r="G19" t="s">
        <v>20</v>
      </c>
      <c r="I19" t="s">
        <v>24</v>
      </c>
      <c r="J19" t="s">
        <v>24</v>
      </c>
      <c r="K19">
        <v>2006</v>
      </c>
      <c r="L19" t="s">
        <v>37</v>
      </c>
      <c r="M19">
        <v>2056</v>
      </c>
      <c r="N19" s="5">
        <v>0</v>
      </c>
      <c r="O19" s="5">
        <v>0</v>
      </c>
      <c r="Q19">
        <v>35.213395300000002</v>
      </c>
      <c r="R19">
        <v>-111.6223892</v>
      </c>
    </row>
    <row r="20" spans="1:21" x14ac:dyDescent="0.3">
      <c r="A20" t="s">
        <v>47</v>
      </c>
      <c r="B20">
        <v>86001</v>
      </c>
      <c r="C20" t="s">
        <v>20</v>
      </c>
      <c r="D20" t="s">
        <v>21</v>
      </c>
      <c r="E20" t="s">
        <v>22</v>
      </c>
      <c r="F20" t="s">
        <v>23</v>
      </c>
      <c r="G20" t="s">
        <v>20</v>
      </c>
      <c r="I20" t="s">
        <v>24</v>
      </c>
      <c r="J20" t="s">
        <v>24</v>
      </c>
      <c r="K20">
        <v>2023</v>
      </c>
      <c r="L20" t="s">
        <v>37</v>
      </c>
      <c r="M20">
        <v>0</v>
      </c>
      <c r="N20" s="5">
        <v>0</v>
      </c>
      <c r="O20" s="5">
        <v>0</v>
      </c>
      <c r="P20" t="s">
        <v>48</v>
      </c>
      <c r="Q20">
        <v>35.192825399999997</v>
      </c>
      <c r="R20">
        <v>-111.647308</v>
      </c>
    </row>
    <row r="21" spans="1:21" x14ac:dyDescent="0.3">
      <c r="A21" t="s">
        <v>49</v>
      </c>
      <c r="B21">
        <v>86001</v>
      </c>
      <c r="C21" t="s">
        <v>20</v>
      </c>
      <c r="D21" t="s">
        <v>21</v>
      </c>
      <c r="E21" t="s">
        <v>22</v>
      </c>
      <c r="F21" t="s">
        <v>23</v>
      </c>
      <c r="G21" t="s">
        <v>20</v>
      </c>
      <c r="I21" t="s">
        <v>24</v>
      </c>
      <c r="J21" t="s">
        <v>24</v>
      </c>
      <c r="K21">
        <v>2023</v>
      </c>
      <c r="L21" t="s">
        <v>37</v>
      </c>
      <c r="M21">
        <v>0</v>
      </c>
      <c r="N21" s="5">
        <v>0</v>
      </c>
      <c r="O21" s="5">
        <v>0</v>
      </c>
      <c r="P21" t="s">
        <v>50</v>
      </c>
      <c r="Q21">
        <v>35.193275999999997</v>
      </c>
      <c r="R21">
        <v>-111.6472132</v>
      </c>
    </row>
    <row r="22" spans="1:21" x14ac:dyDescent="0.3">
      <c r="A22" t="s">
        <v>51</v>
      </c>
      <c r="B22">
        <v>86004</v>
      </c>
      <c r="C22" t="s">
        <v>20</v>
      </c>
      <c r="D22" t="s">
        <v>21</v>
      </c>
      <c r="E22" t="s">
        <v>22</v>
      </c>
      <c r="F22" t="s">
        <v>23</v>
      </c>
      <c r="G22" t="s">
        <v>20</v>
      </c>
      <c r="I22" t="s">
        <v>24</v>
      </c>
      <c r="J22" t="s">
        <v>24</v>
      </c>
      <c r="K22">
        <v>2012</v>
      </c>
      <c r="L22" t="s">
        <v>37</v>
      </c>
      <c r="M22">
        <v>1200</v>
      </c>
      <c r="N22">
        <v>3</v>
      </c>
      <c r="O22" s="5">
        <v>0</v>
      </c>
      <c r="Q22">
        <v>35.213665800000001</v>
      </c>
      <c r="R22">
        <v>-111.6223152</v>
      </c>
    </row>
    <row r="23" spans="1:21" x14ac:dyDescent="0.3">
      <c r="A23" t="s">
        <v>52</v>
      </c>
      <c r="B23">
        <v>86004</v>
      </c>
      <c r="C23" t="s">
        <v>20</v>
      </c>
      <c r="D23" t="s">
        <v>21</v>
      </c>
      <c r="E23" t="s">
        <v>22</v>
      </c>
      <c r="F23" t="s">
        <v>23</v>
      </c>
      <c r="G23" t="s">
        <v>20</v>
      </c>
      <c r="I23" t="s">
        <v>24</v>
      </c>
      <c r="J23" t="s">
        <v>24</v>
      </c>
      <c r="K23">
        <v>2012</v>
      </c>
      <c r="L23" t="s">
        <v>37</v>
      </c>
      <c r="M23">
        <v>1208</v>
      </c>
      <c r="N23">
        <v>3</v>
      </c>
      <c r="O23" s="5">
        <v>0</v>
      </c>
      <c r="Q23">
        <v>35.213878000000001</v>
      </c>
      <c r="R23">
        <v>-111.6221266</v>
      </c>
    </row>
    <row r="24" spans="1:21" x14ac:dyDescent="0.3">
      <c r="A24" t="s">
        <v>53</v>
      </c>
      <c r="B24">
        <v>86004</v>
      </c>
      <c r="C24" t="s">
        <v>20</v>
      </c>
      <c r="D24" t="s">
        <v>21</v>
      </c>
      <c r="E24" t="s">
        <v>22</v>
      </c>
      <c r="F24" t="s">
        <v>23</v>
      </c>
      <c r="G24" t="s">
        <v>20</v>
      </c>
      <c r="I24" t="s">
        <v>24</v>
      </c>
      <c r="J24" t="s">
        <v>24</v>
      </c>
      <c r="K24">
        <v>2010</v>
      </c>
      <c r="L24" t="s">
        <v>37</v>
      </c>
      <c r="M24">
        <v>1208</v>
      </c>
      <c r="N24">
        <v>3</v>
      </c>
      <c r="O24" s="5">
        <v>0</v>
      </c>
      <c r="Q24">
        <v>35.214073200000001</v>
      </c>
      <c r="R24">
        <v>-111.622237</v>
      </c>
    </row>
    <row r="25" spans="1:21" x14ac:dyDescent="0.3">
      <c r="A25" t="s">
        <v>54</v>
      </c>
      <c r="B25">
        <v>86001</v>
      </c>
      <c r="C25" t="s">
        <v>20</v>
      </c>
      <c r="D25" t="s">
        <v>21</v>
      </c>
      <c r="E25" t="s">
        <v>22</v>
      </c>
      <c r="F25" t="s">
        <v>23</v>
      </c>
      <c r="G25" t="s">
        <v>20</v>
      </c>
      <c r="I25" t="s">
        <v>24</v>
      </c>
      <c r="J25" t="s">
        <v>24</v>
      </c>
      <c r="K25">
        <v>2022</v>
      </c>
      <c r="L25" t="s">
        <v>37</v>
      </c>
      <c r="M25">
        <v>1438</v>
      </c>
      <c r="N25">
        <v>3</v>
      </c>
      <c r="O25">
        <v>2.5</v>
      </c>
      <c r="Q25">
        <v>35.192281600000001</v>
      </c>
      <c r="R25">
        <v>-111.6862678</v>
      </c>
    </row>
    <row r="26" spans="1:21" x14ac:dyDescent="0.3">
      <c r="A26" t="s">
        <v>55</v>
      </c>
      <c r="B26">
        <v>86001</v>
      </c>
      <c r="C26" t="s">
        <v>20</v>
      </c>
      <c r="D26" t="s">
        <v>21</v>
      </c>
      <c r="E26" t="s">
        <v>22</v>
      </c>
      <c r="F26" t="s">
        <v>23</v>
      </c>
      <c r="G26" t="s">
        <v>20</v>
      </c>
      <c r="I26" t="s">
        <v>24</v>
      </c>
      <c r="J26" t="s">
        <v>24</v>
      </c>
      <c r="K26">
        <v>2022</v>
      </c>
      <c r="L26" t="s">
        <v>37</v>
      </c>
      <c r="M26">
        <v>1438</v>
      </c>
      <c r="N26">
        <v>3</v>
      </c>
      <c r="O26">
        <v>2.5</v>
      </c>
      <c r="Q26">
        <v>35.193468899999999</v>
      </c>
      <c r="R26">
        <v>-111.6848976</v>
      </c>
    </row>
    <row r="27" spans="1:21" x14ac:dyDescent="0.3">
      <c r="A27" t="s">
        <v>56</v>
      </c>
      <c r="B27">
        <v>86001</v>
      </c>
      <c r="C27" t="s">
        <v>20</v>
      </c>
      <c r="D27" t="s">
        <v>21</v>
      </c>
      <c r="E27" t="s">
        <v>22</v>
      </c>
      <c r="F27" t="s">
        <v>23</v>
      </c>
      <c r="G27" t="s">
        <v>20</v>
      </c>
      <c r="I27" t="s">
        <v>24</v>
      </c>
      <c r="J27" t="s">
        <v>24</v>
      </c>
      <c r="K27">
        <v>2019</v>
      </c>
      <c r="L27" t="s">
        <v>37</v>
      </c>
      <c r="M27">
        <v>1124</v>
      </c>
      <c r="N27">
        <v>2</v>
      </c>
      <c r="O27">
        <v>1</v>
      </c>
      <c r="Q27">
        <v>35.194194600000003</v>
      </c>
      <c r="R27">
        <v>-111.6860697</v>
      </c>
    </row>
    <row r="28" spans="1:21" x14ac:dyDescent="0.3">
      <c r="A28" t="s">
        <v>57</v>
      </c>
      <c r="B28">
        <v>86001</v>
      </c>
      <c r="C28" t="s">
        <v>20</v>
      </c>
      <c r="D28" t="s">
        <v>21</v>
      </c>
      <c r="E28" t="s">
        <v>22</v>
      </c>
      <c r="F28" t="s">
        <v>23</v>
      </c>
      <c r="G28" t="s">
        <v>20</v>
      </c>
      <c r="I28" t="s">
        <v>24</v>
      </c>
      <c r="J28" t="s">
        <v>24</v>
      </c>
      <c r="K28">
        <v>2023</v>
      </c>
      <c r="L28" t="s">
        <v>37</v>
      </c>
      <c r="M28">
        <v>1127</v>
      </c>
      <c r="N28">
        <v>2</v>
      </c>
      <c r="O28">
        <v>1</v>
      </c>
      <c r="Q28">
        <v>35.191988199999997</v>
      </c>
      <c r="R28">
        <v>-111.6861663</v>
      </c>
    </row>
    <row r="29" spans="1:21" x14ac:dyDescent="0.3">
      <c r="A29" t="s">
        <v>58</v>
      </c>
      <c r="B29">
        <v>86004</v>
      </c>
      <c r="C29" t="s">
        <v>20</v>
      </c>
      <c r="D29" t="s">
        <v>21</v>
      </c>
      <c r="E29" t="s">
        <v>22</v>
      </c>
      <c r="F29" t="s">
        <v>23</v>
      </c>
      <c r="G29" t="s">
        <v>20</v>
      </c>
      <c r="I29" t="s">
        <v>24</v>
      </c>
      <c r="J29" t="s">
        <v>24</v>
      </c>
      <c r="K29">
        <v>0</v>
      </c>
      <c r="L29" t="s">
        <v>37</v>
      </c>
      <c r="M29">
        <v>0</v>
      </c>
      <c r="N29" s="5">
        <v>0</v>
      </c>
      <c r="O29" s="5">
        <v>0</v>
      </c>
      <c r="P29" t="s">
        <v>59</v>
      </c>
      <c r="Q29">
        <v>35.193608699999999</v>
      </c>
      <c r="R29">
        <v>-111.61382380000001</v>
      </c>
    </row>
    <row r="30" spans="1:21" x14ac:dyDescent="0.3">
      <c r="A30" t="s">
        <v>60</v>
      </c>
      <c r="B30">
        <v>86001</v>
      </c>
      <c r="C30" t="s">
        <v>20</v>
      </c>
      <c r="D30" t="s">
        <v>21</v>
      </c>
      <c r="E30" t="s">
        <v>22</v>
      </c>
      <c r="F30" t="s">
        <v>23</v>
      </c>
      <c r="G30" t="s">
        <v>20</v>
      </c>
      <c r="H30" t="s">
        <v>61</v>
      </c>
      <c r="I30" t="s">
        <v>24</v>
      </c>
      <c r="J30" t="s">
        <v>24</v>
      </c>
      <c r="K30">
        <v>0</v>
      </c>
      <c r="L30" t="s">
        <v>37</v>
      </c>
      <c r="M30">
        <v>0</v>
      </c>
      <c r="N30" s="5">
        <v>0</v>
      </c>
      <c r="O30" s="5">
        <v>0</v>
      </c>
      <c r="P30" t="s">
        <v>62</v>
      </c>
      <c r="Q30">
        <v>35.197878000000003</v>
      </c>
      <c r="R30">
        <v>-111.6275662</v>
      </c>
    </row>
    <row r="31" spans="1:21" x14ac:dyDescent="0.3">
      <c r="A31" t="s">
        <v>63</v>
      </c>
      <c r="B31">
        <v>86001</v>
      </c>
      <c r="C31" t="s">
        <v>20</v>
      </c>
      <c r="D31" t="s">
        <v>21</v>
      </c>
      <c r="E31" t="s">
        <v>22</v>
      </c>
      <c r="F31" t="s">
        <v>23</v>
      </c>
      <c r="G31" t="s">
        <v>20</v>
      </c>
      <c r="H31" t="s">
        <v>64</v>
      </c>
      <c r="I31" t="s">
        <v>24</v>
      </c>
      <c r="J31" t="s">
        <v>24</v>
      </c>
      <c r="K31">
        <v>0</v>
      </c>
      <c r="L31" t="s">
        <v>37</v>
      </c>
      <c r="M31">
        <v>0</v>
      </c>
      <c r="N31" s="5">
        <v>0</v>
      </c>
      <c r="O31" s="5">
        <v>0</v>
      </c>
      <c r="P31" t="s">
        <v>65</v>
      </c>
      <c r="Q31">
        <v>35.204118100000002</v>
      </c>
      <c r="R31">
        <v>-111.63665469999999</v>
      </c>
    </row>
    <row r="32" spans="1:21" x14ac:dyDescent="0.3">
      <c r="A32" t="s">
        <v>66</v>
      </c>
      <c r="B32">
        <v>85745</v>
      </c>
      <c r="C32" t="s">
        <v>67</v>
      </c>
      <c r="D32" t="s">
        <v>68</v>
      </c>
      <c r="E32" t="s">
        <v>22</v>
      </c>
      <c r="F32" t="s">
        <v>69</v>
      </c>
      <c r="G32" t="s">
        <v>67</v>
      </c>
      <c r="I32" t="s">
        <v>70</v>
      </c>
      <c r="J32" t="s">
        <v>24</v>
      </c>
      <c r="K32">
        <v>1996</v>
      </c>
      <c r="L32" t="s">
        <v>37</v>
      </c>
      <c r="M32">
        <v>825</v>
      </c>
      <c r="N32">
        <v>2</v>
      </c>
      <c r="O32">
        <v>1</v>
      </c>
      <c r="Q32">
        <v>32.157598</v>
      </c>
      <c r="R32">
        <v>-110.950328</v>
      </c>
      <c r="T32" t="str">
        <f>SUBSTITUTE(N32, "B", "")</f>
        <v>2</v>
      </c>
      <c r="U32" t="str">
        <f>SUBSTITUTE(O32, "B", "")</f>
        <v>1</v>
      </c>
    </row>
    <row r="33" spans="1:21" x14ac:dyDescent="0.3">
      <c r="A33" t="s">
        <v>71</v>
      </c>
      <c r="B33">
        <v>85706</v>
      </c>
      <c r="C33" t="s">
        <v>67</v>
      </c>
      <c r="D33" t="s">
        <v>68</v>
      </c>
      <c r="E33" t="s">
        <v>22</v>
      </c>
      <c r="F33" t="s">
        <v>69</v>
      </c>
      <c r="G33" t="s">
        <v>67</v>
      </c>
      <c r="I33" t="s">
        <v>70</v>
      </c>
      <c r="J33" t="s">
        <v>24</v>
      </c>
      <c r="K33">
        <v>1995</v>
      </c>
      <c r="L33" t="s">
        <v>37</v>
      </c>
      <c r="M33">
        <v>1725</v>
      </c>
      <c r="N33">
        <v>5</v>
      </c>
      <c r="O33">
        <v>3</v>
      </c>
      <c r="Q33">
        <v>32.159080000000003</v>
      </c>
      <c r="R33">
        <v>-110.95084</v>
      </c>
      <c r="T33" t="str">
        <f t="shared" ref="T33:T96" si="0">SUBSTITUTE(N33, "B", "")</f>
        <v>5</v>
      </c>
      <c r="U33" t="str">
        <f t="shared" ref="U33:U96" si="1">SUBSTITUTE(O33, "B", "")</f>
        <v>3</v>
      </c>
    </row>
    <row r="34" spans="1:21" x14ac:dyDescent="0.3">
      <c r="A34" t="s">
        <v>72</v>
      </c>
      <c r="B34">
        <v>85745</v>
      </c>
      <c r="C34" t="s">
        <v>67</v>
      </c>
      <c r="D34" t="s">
        <v>68</v>
      </c>
      <c r="E34" t="s">
        <v>22</v>
      </c>
      <c r="F34" t="s">
        <v>69</v>
      </c>
      <c r="G34" t="s">
        <v>67</v>
      </c>
      <c r="I34" t="s">
        <v>24</v>
      </c>
      <c r="K34">
        <v>2021</v>
      </c>
      <c r="L34" t="s">
        <v>37</v>
      </c>
      <c r="M34">
        <v>1420</v>
      </c>
      <c r="N34">
        <v>3</v>
      </c>
      <c r="O34">
        <v>2</v>
      </c>
      <c r="Q34">
        <v>32.241326000000001</v>
      </c>
      <c r="R34">
        <v>-110.991162</v>
      </c>
      <c r="T34" t="str">
        <f t="shared" si="0"/>
        <v>3</v>
      </c>
      <c r="U34" t="str">
        <f t="shared" si="1"/>
        <v>2</v>
      </c>
    </row>
    <row r="35" spans="1:21" x14ac:dyDescent="0.3">
      <c r="A35" t="s">
        <v>73</v>
      </c>
      <c r="B35">
        <v>85745</v>
      </c>
      <c r="C35" t="s">
        <v>67</v>
      </c>
      <c r="D35" t="s">
        <v>68</v>
      </c>
      <c r="E35" t="s">
        <v>22</v>
      </c>
      <c r="F35" t="s">
        <v>69</v>
      </c>
      <c r="G35" t="s">
        <v>67</v>
      </c>
      <c r="I35" t="s">
        <v>24</v>
      </c>
      <c r="K35">
        <v>2021</v>
      </c>
      <c r="L35" t="s">
        <v>37</v>
      </c>
      <c r="M35">
        <v>1420</v>
      </c>
      <c r="N35">
        <v>3</v>
      </c>
      <c r="O35">
        <v>2</v>
      </c>
      <c r="Q35">
        <v>32.241478999999998</v>
      </c>
      <c r="R35">
        <v>-110.991202</v>
      </c>
      <c r="T35" t="str">
        <f t="shared" si="0"/>
        <v>3</v>
      </c>
      <c r="U35" t="str">
        <f t="shared" si="1"/>
        <v>2</v>
      </c>
    </row>
    <row r="36" spans="1:21" x14ac:dyDescent="0.3">
      <c r="A36" t="s">
        <v>74</v>
      </c>
      <c r="B36">
        <v>85746</v>
      </c>
      <c r="C36" t="s">
        <v>67</v>
      </c>
      <c r="D36" t="s">
        <v>68</v>
      </c>
      <c r="E36" t="s">
        <v>22</v>
      </c>
      <c r="F36" t="s">
        <v>69</v>
      </c>
      <c r="G36" t="s">
        <v>67</v>
      </c>
      <c r="I36" t="s">
        <v>70</v>
      </c>
      <c r="J36" t="s">
        <v>24</v>
      </c>
      <c r="K36">
        <v>2002</v>
      </c>
      <c r="L36" t="s">
        <v>37</v>
      </c>
      <c r="M36">
        <v>1762</v>
      </c>
      <c r="N36">
        <v>3</v>
      </c>
      <c r="O36">
        <v>3</v>
      </c>
      <c r="Q36">
        <v>32.136071999999999</v>
      </c>
      <c r="R36">
        <v>-110.995552</v>
      </c>
      <c r="T36" t="str">
        <f t="shared" si="0"/>
        <v>3</v>
      </c>
      <c r="U36" t="str">
        <f t="shared" si="1"/>
        <v>3</v>
      </c>
    </row>
    <row r="37" spans="1:21" x14ac:dyDescent="0.3">
      <c r="A37" t="s">
        <v>75</v>
      </c>
      <c r="B37">
        <v>85746</v>
      </c>
      <c r="C37" t="s">
        <v>67</v>
      </c>
      <c r="D37" t="s">
        <v>68</v>
      </c>
      <c r="E37" t="s">
        <v>22</v>
      </c>
      <c r="F37" t="s">
        <v>69</v>
      </c>
      <c r="G37" t="s">
        <v>67</v>
      </c>
      <c r="I37" t="s">
        <v>70</v>
      </c>
      <c r="J37" t="s">
        <v>24</v>
      </c>
      <c r="K37">
        <v>1994</v>
      </c>
      <c r="L37" t="s">
        <v>37</v>
      </c>
      <c r="M37">
        <v>1220</v>
      </c>
      <c r="N37">
        <v>3</v>
      </c>
      <c r="O37">
        <v>2</v>
      </c>
      <c r="Q37">
        <v>32.153463000000002</v>
      </c>
      <c r="R37">
        <v>-110.99678400000001</v>
      </c>
      <c r="T37" t="str">
        <f t="shared" si="0"/>
        <v>3</v>
      </c>
      <c r="U37" t="str">
        <f t="shared" si="1"/>
        <v>2</v>
      </c>
    </row>
    <row r="38" spans="1:21" x14ac:dyDescent="0.3">
      <c r="A38" t="s">
        <v>76</v>
      </c>
      <c r="B38">
        <v>85745</v>
      </c>
      <c r="C38" t="s">
        <v>67</v>
      </c>
      <c r="D38" t="s">
        <v>68</v>
      </c>
      <c r="E38" t="s">
        <v>22</v>
      </c>
      <c r="F38" t="s">
        <v>69</v>
      </c>
      <c r="G38" t="s">
        <v>67</v>
      </c>
      <c r="I38" t="s">
        <v>24</v>
      </c>
      <c r="K38">
        <v>2021</v>
      </c>
      <c r="L38" t="s">
        <v>37</v>
      </c>
      <c r="M38">
        <v>1420</v>
      </c>
      <c r="N38">
        <v>3</v>
      </c>
      <c r="O38">
        <v>2</v>
      </c>
      <c r="Q38">
        <v>32.241103000000003</v>
      </c>
      <c r="R38">
        <v>-110.99154799999999</v>
      </c>
      <c r="T38" t="str">
        <f t="shared" si="0"/>
        <v>3</v>
      </c>
      <c r="U38" t="str">
        <f t="shared" si="1"/>
        <v>2</v>
      </c>
    </row>
    <row r="39" spans="1:21" x14ac:dyDescent="0.3">
      <c r="A39" t="s">
        <v>77</v>
      </c>
      <c r="B39">
        <v>85746</v>
      </c>
      <c r="C39" t="s">
        <v>67</v>
      </c>
      <c r="D39" t="s">
        <v>68</v>
      </c>
      <c r="E39" t="s">
        <v>22</v>
      </c>
      <c r="F39" t="s">
        <v>69</v>
      </c>
      <c r="G39" t="s">
        <v>67</v>
      </c>
      <c r="I39" t="s">
        <v>70</v>
      </c>
      <c r="J39" t="s">
        <v>24</v>
      </c>
      <c r="K39">
        <v>1987</v>
      </c>
      <c r="L39" t="s">
        <v>37</v>
      </c>
      <c r="M39">
        <v>1635</v>
      </c>
      <c r="N39">
        <v>3</v>
      </c>
      <c r="O39">
        <v>2</v>
      </c>
      <c r="Q39">
        <v>32.143532</v>
      </c>
      <c r="R39">
        <v>-110.99702499999999</v>
      </c>
      <c r="T39" t="str">
        <f t="shared" si="0"/>
        <v>3</v>
      </c>
      <c r="U39" t="str">
        <f t="shared" si="1"/>
        <v>2</v>
      </c>
    </row>
    <row r="40" spans="1:21" x14ac:dyDescent="0.3">
      <c r="A40" t="s">
        <v>78</v>
      </c>
      <c r="B40">
        <v>85745</v>
      </c>
      <c r="C40" t="s">
        <v>67</v>
      </c>
      <c r="D40" t="s">
        <v>68</v>
      </c>
      <c r="E40" t="s">
        <v>22</v>
      </c>
      <c r="F40" t="s">
        <v>69</v>
      </c>
      <c r="G40" t="s">
        <v>67</v>
      </c>
      <c r="I40" t="s">
        <v>24</v>
      </c>
      <c r="K40">
        <v>2021</v>
      </c>
      <c r="L40" t="s">
        <v>37</v>
      </c>
      <c r="M40">
        <v>1420</v>
      </c>
      <c r="N40">
        <v>3</v>
      </c>
      <c r="O40">
        <v>2</v>
      </c>
      <c r="Q40">
        <v>32.241264999999999</v>
      </c>
      <c r="R40">
        <v>-110.991553</v>
      </c>
      <c r="T40" t="str">
        <f t="shared" si="0"/>
        <v>3</v>
      </c>
      <c r="U40" t="str">
        <f t="shared" si="1"/>
        <v>2</v>
      </c>
    </row>
    <row r="41" spans="1:21" x14ac:dyDescent="0.3">
      <c r="A41" t="s">
        <v>79</v>
      </c>
      <c r="B41">
        <v>85746</v>
      </c>
      <c r="C41" t="s">
        <v>67</v>
      </c>
      <c r="D41" t="s">
        <v>68</v>
      </c>
      <c r="E41" t="s">
        <v>22</v>
      </c>
      <c r="F41" t="s">
        <v>69</v>
      </c>
      <c r="G41" t="s">
        <v>67</v>
      </c>
      <c r="I41" t="s">
        <v>70</v>
      </c>
      <c r="J41" t="s">
        <v>24</v>
      </c>
      <c r="K41">
        <v>1996</v>
      </c>
      <c r="L41" t="s">
        <v>37</v>
      </c>
      <c r="M41">
        <v>1672</v>
      </c>
      <c r="N41">
        <v>4</v>
      </c>
      <c r="O41">
        <v>2</v>
      </c>
      <c r="Q41">
        <v>32.156362000000001</v>
      </c>
      <c r="R41">
        <v>-110.99712599999999</v>
      </c>
      <c r="T41" t="str">
        <f t="shared" si="0"/>
        <v>4</v>
      </c>
      <c r="U41" t="str">
        <f t="shared" si="1"/>
        <v>2</v>
      </c>
    </row>
    <row r="42" spans="1:21" x14ac:dyDescent="0.3">
      <c r="A42" t="s">
        <v>80</v>
      </c>
      <c r="B42">
        <v>85745</v>
      </c>
      <c r="C42" t="s">
        <v>67</v>
      </c>
      <c r="D42" t="s">
        <v>68</v>
      </c>
      <c r="E42" t="s">
        <v>22</v>
      </c>
      <c r="F42" t="s">
        <v>69</v>
      </c>
      <c r="G42" t="s">
        <v>67</v>
      </c>
      <c r="I42" t="s">
        <v>24</v>
      </c>
      <c r="K42">
        <v>2021</v>
      </c>
      <c r="L42" t="s">
        <v>37</v>
      </c>
      <c r="M42">
        <v>1420</v>
      </c>
      <c r="N42">
        <v>3</v>
      </c>
      <c r="O42">
        <v>2</v>
      </c>
      <c r="Q42">
        <v>32.241427999999999</v>
      </c>
      <c r="R42">
        <v>-110.991581</v>
      </c>
      <c r="T42" t="str">
        <f t="shared" si="0"/>
        <v>3</v>
      </c>
      <c r="U42" t="str">
        <f t="shared" si="1"/>
        <v>2</v>
      </c>
    </row>
    <row r="43" spans="1:21" x14ac:dyDescent="0.3">
      <c r="A43" t="s">
        <v>81</v>
      </c>
      <c r="B43">
        <v>85705</v>
      </c>
      <c r="C43" t="s">
        <v>67</v>
      </c>
      <c r="D43" t="s">
        <v>68</v>
      </c>
      <c r="E43" t="s">
        <v>22</v>
      </c>
      <c r="F43" t="s">
        <v>69</v>
      </c>
      <c r="G43" t="s">
        <v>67</v>
      </c>
      <c r="I43" t="s">
        <v>70</v>
      </c>
      <c r="J43" t="s">
        <v>24</v>
      </c>
      <c r="K43">
        <v>1959</v>
      </c>
      <c r="L43" t="s">
        <v>37</v>
      </c>
      <c r="M43">
        <v>1040</v>
      </c>
      <c r="N43">
        <v>3</v>
      </c>
      <c r="O43">
        <v>2</v>
      </c>
      <c r="Q43">
        <v>32.280923000000001</v>
      </c>
      <c r="R43">
        <v>-110.997787</v>
      </c>
      <c r="T43" t="str">
        <f t="shared" si="0"/>
        <v>3</v>
      </c>
      <c r="U43" t="str">
        <f t="shared" si="1"/>
        <v>2</v>
      </c>
    </row>
    <row r="44" spans="1:21" x14ac:dyDescent="0.3">
      <c r="A44" t="s">
        <v>82</v>
      </c>
      <c r="B44">
        <v>85745</v>
      </c>
      <c r="C44" t="s">
        <v>67</v>
      </c>
      <c r="D44" t="s">
        <v>68</v>
      </c>
      <c r="E44" t="s">
        <v>22</v>
      </c>
      <c r="F44" t="s">
        <v>69</v>
      </c>
      <c r="G44" t="s">
        <v>67</v>
      </c>
      <c r="I44" t="s">
        <v>70</v>
      </c>
      <c r="J44" t="s">
        <v>24</v>
      </c>
      <c r="K44">
        <v>1975</v>
      </c>
      <c r="L44" t="s">
        <v>37</v>
      </c>
      <c r="M44">
        <v>1208</v>
      </c>
      <c r="N44">
        <v>4</v>
      </c>
      <c r="O44">
        <v>2</v>
      </c>
      <c r="Q44">
        <v>32.234757999999999</v>
      </c>
      <c r="R44">
        <v>-110.997916</v>
      </c>
      <c r="T44" t="str">
        <f t="shared" si="0"/>
        <v>4</v>
      </c>
      <c r="U44" t="str">
        <f t="shared" si="1"/>
        <v>2</v>
      </c>
    </row>
    <row r="45" spans="1:21" x14ac:dyDescent="0.3">
      <c r="A45" t="s">
        <v>83</v>
      </c>
      <c r="B45">
        <v>85705</v>
      </c>
      <c r="C45" t="s">
        <v>67</v>
      </c>
      <c r="D45" t="s">
        <v>68</v>
      </c>
      <c r="E45" t="s">
        <v>22</v>
      </c>
      <c r="F45" t="s">
        <v>69</v>
      </c>
      <c r="G45" t="s">
        <v>67</v>
      </c>
      <c r="I45" t="s">
        <v>70</v>
      </c>
      <c r="J45" t="s">
        <v>24</v>
      </c>
      <c r="K45">
        <v>1956</v>
      </c>
      <c r="L45" t="s">
        <v>37</v>
      </c>
      <c r="M45">
        <v>1232</v>
      </c>
      <c r="N45">
        <v>3</v>
      </c>
      <c r="O45">
        <v>2</v>
      </c>
      <c r="Q45">
        <v>32.270533999999998</v>
      </c>
      <c r="R45">
        <v>-110.99872499999999</v>
      </c>
      <c r="T45" t="str">
        <f t="shared" si="0"/>
        <v>3</v>
      </c>
      <c r="U45" t="str">
        <f t="shared" si="1"/>
        <v>2</v>
      </c>
    </row>
    <row r="46" spans="1:21" x14ac:dyDescent="0.3">
      <c r="A46" t="s">
        <v>84</v>
      </c>
      <c r="B46">
        <v>85746</v>
      </c>
      <c r="C46" t="s">
        <v>67</v>
      </c>
      <c r="D46" t="s">
        <v>68</v>
      </c>
      <c r="E46" t="s">
        <v>22</v>
      </c>
      <c r="F46" t="s">
        <v>69</v>
      </c>
      <c r="G46" t="s">
        <v>67</v>
      </c>
      <c r="I46" t="s">
        <v>70</v>
      </c>
      <c r="J46" t="s">
        <v>24</v>
      </c>
      <c r="K46">
        <v>2001</v>
      </c>
      <c r="L46" t="s">
        <v>37</v>
      </c>
      <c r="M46">
        <v>1060</v>
      </c>
      <c r="N46">
        <v>3</v>
      </c>
      <c r="O46">
        <v>1</v>
      </c>
      <c r="Q46">
        <v>32.141336000000003</v>
      </c>
      <c r="R46">
        <v>-111.00018300000001</v>
      </c>
      <c r="T46" t="str">
        <f t="shared" si="0"/>
        <v>3</v>
      </c>
      <c r="U46" t="str">
        <f t="shared" si="1"/>
        <v>1</v>
      </c>
    </row>
    <row r="47" spans="1:21" x14ac:dyDescent="0.3">
      <c r="A47" t="s">
        <v>85</v>
      </c>
      <c r="B47">
        <v>85746</v>
      </c>
      <c r="C47" t="s">
        <v>67</v>
      </c>
      <c r="D47" t="s">
        <v>68</v>
      </c>
      <c r="E47" t="s">
        <v>22</v>
      </c>
      <c r="F47" t="s">
        <v>69</v>
      </c>
      <c r="G47" t="s">
        <v>67</v>
      </c>
      <c r="I47" t="s">
        <v>70</v>
      </c>
      <c r="J47" t="s">
        <v>24</v>
      </c>
      <c r="K47">
        <v>1995</v>
      </c>
      <c r="L47" t="s">
        <v>37</v>
      </c>
      <c r="M47">
        <v>1533</v>
      </c>
      <c r="N47">
        <v>3</v>
      </c>
      <c r="O47">
        <v>2</v>
      </c>
      <c r="Q47">
        <v>32.143678999999999</v>
      </c>
      <c r="R47">
        <v>-111.000418</v>
      </c>
      <c r="T47" t="str">
        <f t="shared" si="0"/>
        <v>3</v>
      </c>
      <c r="U47" t="str">
        <f t="shared" si="1"/>
        <v>2</v>
      </c>
    </row>
    <row r="48" spans="1:21" x14ac:dyDescent="0.3">
      <c r="A48" t="s">
        <v>86</v>
      </c>
      <c r="B48">
        <v>85713</v>
      </c>
      <c r="C48" t="s">
        <v>67</v>
      </c>
      <c r="D48" t="s">
        <v>68</v>
      </c>
      <c r="E48" t="s">
        <v>22</v>
      </c>
      <c r="F48" t="s">
        <v>69</v>
      </c>
      <c r="G48" t="s">
        <v>67</v>
      </c>
      <c r="I48" t="s">
        <v>70</v>
      </c>
      <c r="J48" t="s">
        <v>24</v>
      </c>
      <c r="K48">
        <v>2005</v>
      </c>
      <c r="L48" t="s">
        <v>37</v>
      </c>
      <c r="M48">
        <v>2038</v>
      </c>
      <c r="N48">
        <v>3</v>
      </c>
      <c r="O48">
        <v>2</v>
      </c>
      <c r="Q48">
        <v>32.203392000000001</v>
      </c>
      <c r="R48">
        <v>-110.998628</v>
      </c>
      <c r="T48" t="str">
        <f t="shared" si="0"/>
        <v>3</v>
      </c>
      <c r="U48" t="str">
        <f t="shared" si="1"/>
        <v>2</v>
      </c>
    </row>
    <row r="49" spans="1:21" x14ac:dyDescent="0.3">
      <c r="A49" t="s">
        <v>87</v>
      </c>
      <c r="B49">
        <v>85746</v>
      </c>
      <c r="C49" t="s">
        <v>67</v>
      </c>
      <c r="D49" t="s">
        <v>68</v>
      </c>
      <c r="E49" t="s">
        <v>22</v>
      </c>
      <c r="F49" t="s">
        <v>69</v>
      </c>
      <c r="G49" t="s">
        <v>67</v>
      </c>
      <c r="I49" t="s">
        <v>70</v>
      </c>
      <c r="J49" t="s">
        <v>24</v>
      </c>
      <c r="K49">
        <v>1998</v>
      </c>
      <c r="L49" t="s">
        <v>37</v>
      </c>
      <c r="M49">
        <v>1533</v>
      </c>
      <c r="N49">
        <v>4</v>
      </c>
      <c r="O49">
        <v>2</v>
      </c>
      <c r="Q49">
        <v>32.144111000000002</v>
      </c>
      <c r="R49">
        <v>-111.000556</v>
      </c>
      <c r="T49" t="str">
        <f t="shared" si="0"/>
        <v>4</v>
      </c>
      <c r="U49" t="str">
        <f t="shared" si="1"/>
        <v>2</v>
      </c>
    </row>
    <row r="50" spans="1:21" x14ac:dyDescent="0.3">
      <c r="A50" t="s">
        <v>88</v>
      </c>
      <c r="B50">
        <v>85713</v>
      </c>
      <c r="C50" t="s">
        <v>67</v>
      </c>
      <c r="D50" t="s">
        <v>68</v>
      </c>
      <c r="E50" t="s">
        <v>22</v>
      </c>
      <c r="F50" t="s">
        <v>69</v>
      </c>
      <c r="G50" t="s">
        <v>67</v>
      </c>
      <c r="I50" t="s">
        <v>70</v>
      </c>
      <c r="J50" t="s">
        <v>24</v>
      </c>
      <c r="K50">
        <v>2002</v>
      </c>
      <c r="L50" t="s">
        <v>37</v>
      </c>
      <c r="M50">
        <v>1277</v>
      </c>
      <c r="N50">
        <v>2</v>
      </c>
      <c r="O50">
        <v>2</v>
      </c>
      <c r="Q50">
        <v>32.199379</v>
      </c>
      <c r="R50">
        <v>-110.94737600000001</v>
      </c>
      <c r="T50" t="str">
        <f t="shared" si="0"/>
        <v>2</v>
      </c>
      <c r="U50" t="str">
        <f t="shared" si="1"/>
        <v>2</v>
      </c>
    </row>
    <row r="51" spans="1:21" x14ac:dyDescent="0.3">
      <c r="A51" t="s">
        <v>89</v>
      </c>
      <c r="B51">
        <v>85746</v>
      </c>
      <c r="C51" t="s">
        <v>67</v>
      </c>
      <c r="D51" t="s">
        <v>68</v>
      </c>
      <c r="E51" t="s">
        <v>22</v>
      </c>
      <c r="F51" t="s">
        <v>69</v>
      </c>
      <c r="G51" t="s">
        <v>67</v>
      </c>
      <c r="I51" t="s">
        <v>70</v>
      </c>
      <c r="J51" t="s">
        <v>24</v>
      </c>
      <c r="K51">
        <v>1994</v>
      </c>
      <c r="L51" t="s">
        <v>37</v>
      </c>
      <c r="M51">
        <v>1584</v>
      </c>
      <c r="N51">
        <v>4</v>
      </c>
      <c r="O51">
        <v>2</v>
      </c>
      <c r="Q51">
        <v>32.141801000000001</v>
      </c>
      <c r="R51">
        <v>-111.00176999999999</v>
      </c>
      <c r="T51" t="str">
        <f t="shared" si="0"/>
        <v>4</v>
      </c>
      <c r="U51" t="str">
        <f t="shared" si="1"/>
        <v>2</v>
      </c>
    </row>
    <row r="52" spans="1:21" x14ac:dyDescent="0.3">
      <c r="A52" t="s">
        <v>90</v>
      </c>
      <c r="B52">
        <v>85746</v>
      </c>
      <c r="C52" t="s">
        <v>67</v>
      </c>
      <c r="D52" t="s">
        <v>68</v>
      </c>
      <c r="E52" t="s">
        <v>22</v>
      </c>
      <c r="F52" t="s">
        <v>69</v>
      </c>
      <c r="G52" t="s">
        <v>67</v>
      </c>
      <c r="I52" t="s">
        <v>70</v>
      </c>
      <c r="J52" t="s">
        <v>24</v>
      </c>
      <c r="K52">
        <v>1992</v>
      </c>
      <c r="L52" t="s">
        <v>37</v>
      </c>
      <c r="M52">
        <v>1424</v>
      </c>
      <c r="N52">
        <v>3</v>
      </c>
      <c r="O52">
        <v>2</v>
      </c>
      <c r="Q52">
        <v>32.143169999999998</v>
      </c>
      <c r="R52">
        <v>-111.004389</v>
      </c>
      <c r="T52" t="str">
        <f t="shared" si="0"/>
        <v>3</v>
      </c>
      <c r="U52" t="str">
        <f t="shared" si="1"/>
        <v>2</v>
      </c>
    </row>
    <row r="53" spans="1:21" x14ac:dyDescent="0.3">
      <c r="A53" t="s">
        <v>91</v>
      </c>
      <c r="B53">
        <v>85746</v>
      </c>
      <c r="C53" t="s">
        <v>67</v>
      </c>
      <c r="D53" t="s">
        <v>68</v>
      </c>
      <c r="E53" t="s">
        <v>22</v>
      </c>
      <c r="F53" t="s">
        <v>69</v>
      </c>
      <c r="G53" t="s">
        <v>67</v>
      </c>
      <c r="I53" t="s">
        <v>70</v>
      </c>
      <c r="J53" t="s">
        <v>24</v>
      </c>
      <c r="K53">
        <v>1999</v>
      </c>
      <c r="L53" t="s">
        <v>37</v>
      </c>
      <c r="M53">
        <v>1530</v>
      </c>
      <c r="N53">
        <v>3</v>
      </c>
      <c r="O53">
        <v>2</v>
      </c>
      <c r="Q53">
        <v>32.140860000000004</v>
      </c>
      <c r="R53">
        <v>-111.00239999999999</v>
      </c>
      <c r="T53" t="str">
        <f t="shared" si="0"/>
        <v>3</v>
      </c>
      <c r="U53" t="str">
        <f t="shared" si="1"/>
        <v>2</v>
      </c>
    </row>
    <row r="54" spans="1:21" x14ac:dyDescent="0.3">
      <c r="A54" t="s">
        <v>92</v>
      </c>
      <c r="B54">
        <v>85713</v>
      </c>
      <c r="C54" t="s">
        <v>67</v>
      </c>
      <c r="D54" t="s">
        <v>68</v>
      </c>
      <c r="E54" t="s">
        <v>22</v>
      </c>
      <c r="F54" t="s">
        <v>69</v>
      </c>
      <c r="G54" t="s">
        <v>67</v>
      </c>
      <c r="I54" t="s">
        <v>70</v>
      </c>
      <c r="J54" t="s">
        <v>24</v>
      </c>
      <c r="K54">
        <v>2000</v>
      </c>
      <c r="L54" t="s">
        <v>37</v>
      </c>
      <c r="M54">
        <v>1118</v>
      </c>
      <c r="N54">
        <v>3</v>
      </c>
      <c r="O54">
        <v>2</v>
      </c>
      <c r="Q54">
        <v>32.183836999999997</v>
      </c>
      <c r="R54">
        <v>-111.00734300000001</v>
      </c>
      <c r="T54" t="str">
        <f t="shared" si="0"/>
        <v>3</v>
      </c>
      <c r="U54" t="str">
        <f t="shared" si="1"/>
        <v>2</v>
      </c>
    </row>
    <row r="55" spans="1:21" x14ac:dyDescent="0.3">
      <c r="A55" t="s">
        <v>93</v>
      </c>
      <c r="B55">
        <v>85746</v>
      </c>
      <c r="C55" t="s">
        <v>67</v>
      </c>
      <c r="D55" t="s">
        <v>68</v>
      </c>
      <c r="E55" t="s">
        <v>22</v>
      </c>
      <c r="F55" t="s">
        <v>69</v>
      </c>
      <c r="G55" t="s">
        <v>67</v>
      </c>
      <c r="I55" t="s">
        <v>70</v>
      </c>
      <c r="J55" t="s">
        <v>24</v>
      </c>
      <c r="K55">
        <v>1982</v>
      </c>
      <c r="L55" t="s">
        <v>37</v>
      </c>
      <c r="M55">
        <v>1275</v>
      </c>
      <c r="N55">
        <v>3</v>
      </c>
      <c r="O55">
        <v>2</v>
      </c>
      <c r="Q55">
        <v>32.152076000000001</v>
      </c>
      <c r="R55">
        <v>-111.00618799999999</v>
      </c>
      <c r="T55" t="str">
        <f t="shared" si="0"/>
        <v>3</v>
      </c>
      <c r="U55" t="str">
        <f t="shared" si="1"/>
        <v>2</v>
      </c>
    </row>
    <row r="56" spans="1:21" x14ac:dyDescent="0.3">
      <c r="A56" t="s">
        <v>94</v>
      </c>
      <c r="B56">
        <v>85745</v>
      </c>
      <c r="C56" t="s">
        <v>67</v>
      </c>
      <c r="D56" t="s">
        <v>68</v>
      </c>
      <c r="E56" t="s">
        <v>22</v>
      </c>
      <c r="F56" t="s">
        <v>69</v>
      </c>
      <c r="G56" t="s">
        <v>67</v>
      </c>
      <c r="I56" t="s">
        <v>70</v>
      </c>
      <c r="J56" t="s">
        <v>24</v>
      </c>
      <c r="K56">
        <v>2000</v>
      </c>
      <c r="L56" t="s">
        <v>37</v>
      </c>
      <c r="M56">
        <v>1205</v>
      </c>
      <c r="N56">
        <v>3</v>
      </c>
      <c r="O56">
        <v>2</v>
      </c>
      <c r="Q56">
        <v>32.245021999999999</v>
      </c>
      <c r="R56">
        <v>-111.002427</v>
      </c>
      <c r="T56" t="str">
        <f t="shared" si="0"/>
        <v>3</v>
      </c>
      <c r="U56" t="str">
        <f t="shared" si="1"/>
        <v>2</v>
      </c>
    </row>
    <row r="57" spans="1:21" x14ac:dyDescent="0.3">
      <c r="A57" t="s">
        <v>95</v>
      </c>
      <c r="B57">
        <v>85745</v>
      </c>
      <c r="C57" t="s">
        <v>67</v>
      </c>
      <c r="D57" t="s">
        <v>68</v>
      </c>
      <c r="E57" t="s">
        <v>22</v>
      </c>
      <c r="F57" t="s">
        <v>69</v>
      </c>
      <c r="G57" t="s">
        <v>67</v>
      </c>
      <c r="I57" t="s">
        <v>70</v>
      </c>
      <c r="J57" t="s">
        <v>24</v>
      </c>
      <c r="K57">
        <v>2000</v>
      </c>
      <c r="L57" t="s">
        <v>37</v>
      </c>
      <c r="M57">
        <v>1207</v>
      </c>
      <c r="N57">
        <v>3</v>
      </c>
      <c r="O57">
        <v>2</v>
      </c>
      <c r="Q57">
        <v>32.245210999999998</v>
      </c>
      <c r="R57">
        <v>-111.00257000000001</v>
      </c>
      <c r="T57" t="str">
        <f t="shared" si="0"/>
        <v>3</v>
      </c>
      <c r="U57" t="str">
        <f t="shared" si="1"/>
        <v>2</v>
      </c>
    </row>
    <row r="58" spans="1:21" x14ac:dyDescent="0.3">
      <c r="A58" t="s">
        <v>96</v>
      </c>
      <c r="B58">
        <v>85746</v>
      </c>
      <c r="C58" t="s">
        <v>67</v>
      </c>
      <c r="D58" t="s">
        <v>68</v>
      </c>
      <c r="E58" t="s">
        <v>22</v>
      </c>
      <c r="F58" t="s">
        <v>69</v>
      </c>
      <c r="G58" t="s">
        <v>67</v>
      </c>
      <c r="I58" t="s">
        <v>70</v>
      </c>
      <c r="J58" t="s">
        <v>24</v>
      </c>
      <c r="K58">
        <v>2001</v>
      </c>
      <c r="L58" t="s">
        <v>37</v>
      </c>
      <c r="M58">
        <v>1196</v>
      </c>
      <c r="N58">
        <v>3</v>
      </c>
      <c r="O58">
        <v>2</v>
      </c>
      <c r="Q58">
        <v>32.139090000000003</v>
      </c>
      <c r="R58">
        <v>-111.00783199999999</v>
      </c>
      <c r="T58" t="str">
        <f t="shared" si="0"/>
        <v>3</v>
      </c>
      <c r="U58" t="str">
        <f t="shared" si="1"/>
        <v>2</v>
      </c>
    </row>
    <row r="59" spans="1:21" x14ac:dyDescent="0.3">
      <c r="A59" t="s">
        <v>97</v>
      </c>
      <c r="B59">
        <v>85746</v>
      </c>
      <c r="C59" t="s">
        <v>67</v>
      </c>
      <c r="D59" t="s">
        <v>68</v>
      </c>
      <c r="E59" t="s">
        <v>22</v>
      </c>
      <c r="F59" t="s">
        <v>69</v>
      </c>
      <c r="G59" t="s">
        <v>67</v>
      </c>
      <c r="I59" t="s">
        <v>70</v>
      </c>
      <c r="J59" t="s">
        <v>24</v>
      </c>
      <c r="K59">
        <v>1987</v>
      </c>
      <c r="L59" t="s">
        <v>37</v>
      </c>
      <c r="M59">
        <v>1680</v>
      </c>
      <c r="N59">
        <v>4</v>
      </c>
      <c r="O59">
        <v>2</v>
      </c>
      <c r="Q59">
        <v>32.141427999999998</v>
      </c>
      <c r="R59">
        <v>-111.008627</v>
      </c>
      <c r="T59" t="str">
        <f t="shared" si="0"/>
        <v>4</v>
      </c>
      <c r="U59" t="str">
        <f t="shared" si="1"/>
        <v>2</v>
      </c>
    </row>
    <row r="60" spans="1:21" x14ac:dyDescent="0.3">
      <c r="A60" t="s">
        <v>98</v>
      </c>
      <c r="B60">
        <v>85746</v>
      </c>
      <c r="C60" t="s">
        <v>67</v>
      </c>
      <c r="D60" t="s">
        <v>68</v>
      </c>
      <c r="E60" t="s">
        <v>22</v>
      </c>
      <c r="F60" t="s">
        <v>69</v>
      </c>
      <c r="G60" t="s">
        <v>67</v>
      </c>
      <c r="I60" t="s">
        <v>70</v>
      </c>
      <c r="J60" t="s">
        <v>24</v>
      </c>
      <c r="K60">
        <v>1992</v>
      </c>
      <c r="L60" t="s">
        <v>37</v>
      </c>
      <c r="M60">
        <v>2269</v>
      </c>
      <c r="N60">
        <v>4</v>
      </c>
      <c r="O60">
        <v>2</v>
      </c>
      <c r="Q60">
        <v>32.139805000000003</v>
      </c>
      <c r="R60">
        <v>-111.00885700000001</v>
      </c>
      <c r="T60" t="str">
        <f t="shared" si="0"/>
        <v>4</v>
      </c>
      <c r="U60" t="str">
        <f t="shared" si="1"/>
        <v>2</v>
      </c>
    </row>
    <row r="61" spans="1:21" x14ac:dyDescent="0.3">
      <c r="A61" t="s">
        <v>99</v>
      </c>
      <c r="B61">
        <v>85746</v>
      </c>
      <c r="C61" t="s">
        <v>67</v>
      </c>
      <c r="D61" t="s">
        <v>68</v>
      </c>
      <c r="E61" t="s">
        <v>22</v>
      </c>
      <c r="F61" t="s">
        <v>69</v>
      </c>
      <c r="G61" t="s">
        <v>67</v>
      </c>
      <c r="I61" t="s">
        <v>70</v>
      </c>
      <c r="J61" t="s">
        <v>24</v>
      </c>
      <c r="K61">
        <v>2001</v>
      </c>
      <c r="L61" t="s">
        <v>37</v>
      </c>
      <c r="M61">
        <v>2045</v>
      </c>
      <c r="N61">
        <v>4</v>
      </c>
      <c r="O61">
        <v>2</v>
      </c>
      <c r="Q61">
        <v>32.137425999999998</v>
      </c>
      <c r="R61">
        <v>-111.006669</v>
      </c>
      <c r="T61" t="str">
        <f t="shared" si="0"/>
        <v>4</v>
      </c>
      <c r="U61" t="str">
        <f t="shared" si="1"/>
        <v>2</v>
      </c>
    </row>
    <row r="62" spans="1:21" x14ac:dyDescent="0.3">
      <c r="A62" t="s">
        <v>100</v>
      </c>
      <c r="B62">
        <v>85706</v>
      </c>
      <c r="C62" t="s">
        <v>67</v>
      </c>
      <c r="D62" t="s">
        <v>68</v>
      </c>
      <c r="E62" t="s">
        <v>22</v>
      </c>
      <c r="F62" t="s">
        <v>69</v>
      </c>
      <c r="G62" t="s">
        <v>67</v>
      </c>
      <c r="I62" t="s">
        <v>70</v>
      </c>
      <c r="J62" t="s">
        <v>24</v>
      </c>
      <c r="K62">
        <v>1976</v>
      </c>
      <c r="L62" t="s">
        <v>37</v>
      </c>
      <c r="M62">
        <v>1159</v>
      </c>
      <c r="N62">
        <v>5</v>
      </c>
      <c r="O62">
        <v>2</v>
      </c>
      <c r="Q62">
        <v>32.162562999999999</v>
      </c>
      <c r="R62">
        <v>-110.939941</v>
      </c>
      <c r="T62" t="str">
        <f t="shared" si="0"/>
        <v>5</v>
      </c>
      <c r="U62" t="str">
        <f t="shared" si="1"/>
        <v>2</v>
      </c>
    </row>
    <row r="63" spans="1:21" x14ac:dyDescent="0.3">
      <c r="A63" t="s">
        <v>101</v>
      </c>
      <c r="B63">
        <v>85706</v>
      </c>
      <c r="C63" t="s">
        <v>67</v>
      </c>
      <c r="D63" t="s">
        <v>68</v>
      </c>
      <c r="E63" t="s">
        <v>22</v>
      </c>
      <c r="F63" t="s">
        <v>69</v>
      </c>
      <c r="G63" t="s">
        <v>67</v>
      </c>
      <c r="I63" t="s">
        <v>70</v>
      </c>
      <c r="J63" t="s">
        <v>24</v>
      </c>
      <c r="K63">
        <v>2006</v>
      </c>
      <c r="L63" t="s">
        <v>37</v>
      </c>
      <c r="M63">
        <v>969</v>
      </c>
      <c r="N63">
        <v>2</v>
      </c>
      <c r="O63">
        <v>2</v>
      </c>
      <c r="Q63">
        <v>32.146090999999998</v>
      </c>
      <c r="R63">
        <v>-110.94130800000001</v>
      </c>
      <c r="T63" t="str">
        <f t="shared" si="0"/>
        <v>2</v>
      </c>
      <c r="U63" t="str">
        <f t="shared" si="1"/>
        <v>2</v>
      </c>
    </row>
    <row r="64" spans="1:21" x14ac:dyDescent="0.3">
      <c r="A64" t="s">
        <v>102</v>
      </c>
      <c r="B64">
        <v>85745</v>
      </c>
      <c r="C64" t="s">
        <v>67</v>
      </c>
      <c r="D64" t="s">
        <v>68</v>
      </c>
      <c r="E64" t="s">
        <v>22</v>
      </c>
      <c r="F64" t="s">
        <v>69</v>
      </c>
      <c r="G64" t="s">
        <v>67</v>
      </c>
      <c r="I64" t="s">
        <v>70</v>
      </c>
      <c r="J64" t="s">
        <v>24</v>
      </c>
      <c r="K64">
        <v>2000</v>
      </c>
      <c r="L64" t="s">
        <v>37</v>
      </c>
      <c r="M64">
        <v>1630</v>
      </c>
      <c r="N64">
        <v>3</v>
      </c>
      <c r="O64">
        <v>2</v>
      </c>
      <c r="Q64">
        <v>32.256720000000001</v>
      </c>
      <c r="R64">
        <v>-111.013701</v>
      </c>
      <c r="T64" t="str">
        <f t="shared" si="0"/>
        <v>3</v>
      </c>
      <c r="U64" t="str">
        <f t="shared" si="1"/>
        <v>2</v>
      </c>
    </row>
    <row r="65" spans="1:21" x14ac:dyDescent="0.3">
      <c r="A65" t="s">
        <v>103</v>
      </c>
      <c r="B65">
        <v>85745</v>
      </c>
      <c r="C65" t="s">
        <v>67</v>
      </c>
      <c r="D65" t="s">
        <v>68</v>
      </c>
      <c r="E65" t="s">
        <v>22</v>
      </c>
      <c r="F65" t="s">
        <v>69</v>
      </c>
      <c r="G65" t="s">
        <v>67</v>
      </c>
      <c r="I65" t="s">
        <v>70</v>
      </c>
      <c r="J65" t="s">
        <v>24</v>
      </c>
      <c r="K65">
        <v>2001</v>
      </c>
      <c r="L65" t="s">
        <v>37</v>
      </c>
      <c r="M65">
        <v>1385</v>
      </c>
      <c r="N65">
        <v>3</v>
      </c>
      <c r="O65">
        <v>2</v>
      </c>
      <c r="Q65">
        <v>32.252774000000002</v>
      </c>
      <c r="R65">
        <v>-111.01352799999999</v>
      </c>
      <c r="T65" t="str">
        <f t="shared" si="0"/>
        <v>3</v>
      </c>
      <c r="U65" t="str">
        <f t="shared" si="1"/>
        <v>2</v>
      </c>
    </row>
    <row r="66" spans="1:21" x14ac:dyDescent="0.3">
      <c r="A66" t="s">
        <v>104</v>
      </c>
      <c r="B66">
        <v>85706</v>
      </c>
      <c r="C66" t="s">
        <v>67</v>
      </c>
      <c r="D66" t="s">
        <v>68</v>
      </c>
      <c r="E66" t="s">
        <v>22</v>
      </c>
      <c r="F66" t="s">
        <v>69</v>
      </c>
      <c r="G66" t="s">
        <v>67</v>
      </c>
      <c r="I66" t="s">
        <v>70</v>
      </c>
      <c r="J66" t="s">
        <v>24</v>
      </c>
      <c r="K66">
        <v>2006</v>
      </c>
      <c r="L66" t="s">
        <v>37</v>
      </c>
      <c r="M66">
        <v>1825</v>
      </c>
      <c r="N66">
        <v>4</v>
      </c>
      <c r="O66">
        <v>2</v>
      </c>
      <c r="Q66">
        <v>32.152138999999998</v>
      </c>
      <c r="R66">
        <v>-110.938393</v>
      </c>
      <c r="T66" t="str">
        <f t="shared" si="0"/>
        <v>4</v>
      </c>
      <c r="U66" t="str">
        <f t="shared" si="1"/>
        <v>2</v>
      </c>
    </row>
    <row r="67" spans="1:21" x14ac:dyDescent="0.3">
      <c r="A67" t="s">
        <v>105</v>
      </c>
      <c r="B67">
        <v>85706</v>
      </c>
      <c r="C67" t="s">
        <v>67</v>
      </c>
      <c r="D67" t="s">
        <v>68</v>
      </c>
      <c r="E67" t="s">
        <v>22</v>
      </c>
      <c r="F67" t="s">
        <v>69</v>
      </c>
      <c r="G67" t="s">
        <v>67</v>
      </c>
      <c r="I67" t="s">
        <v>70</v>
      </c>
      <c r="J67" t="s">
        <v>24</v>
      </c>
      <c r="K67">
        <v>2006</v>
      </c>
      <c r="L67" t="s">
        <v>37</v>
      </c>
      <c r="M67">
        <v>1763</v>
      </c>
      <c r="N67">
        <v>4</v>
      </c>
      <c r="O67">
        <v>2</v>
      </c>
      <c r="Q67">
        <v>32.146925000000003</v>
      </c>
      <c r="R67">
        <v>-110.93839199999999</v>
      </c>
      <c r="T67" t="str">
        <f t="shared" si="0"/>
        <v>4</v>
      </c>
      <c r="U67" t="str">
        <f t="shared" si="1"/>
        <v>2</v>
      </c>
    </row>
    <row r="68" spans="1:21" x14ac:dyDescent="0.3">
      <c r="A68" s="4" t="s">
        <v>106</v>
      </c>
      <c r="B68">
        <v>85746</v>
      </c>
      <c r="C68" t="s">
        <v>67</v>
      </c>
      <c r="D68" t="s">
        <v>68</v>
      </c>
      <c r="E68" t="s">
        <v>22</v>
      </c>
      <c r="F68" t="s">
        <v>69</v>
      </c>
      <c r="G68" t="s">
        <v>67</v>
      </c>
      <c r="K68">
        <v>1981</v>
      </c>
      <c r="L68" t="s">
        <v>37</v>
      </c>
      <c r="M68">
        <v>1003</v>
      </c>
      <c r="N68">
        <v>2</v>
      </c>
      <c r="O68">
        <v>1</v>
      </c>
      <c r="Q68">
        <v>32.130004999999997</v>
      </c>
      <c r="R68">
        <v>-111.02296200000001</v>
      </c>
      <c r="T68" t="str">
        <f t="shared" si="0"/>
        <v>2</v>
      </c>
      <c r="U68" t="str">
        <f t="shared" si="1"/>
        <v>1</v>
      </c>
    </row>
    <row r="69" spans="1:21" x14ac:dyDescent="0.3">
      <c r="A69" t="s">
        <v>107</v>
      </c>
      <c r="B69">
        <v>85745</v>
      </c>
      <c r="C69" t="s">
        <v>67</v>
      </c>
      <c r="D69" t="s">
        <v>68</v>
      </c>
      <c r="E69" t="s">
        <v>22</v>
      </c>
      <c r="F69" t="s">
        <v>69</v>
      </c>
      <c r="G69" t="s">
        <v>67</v>
      </c>
      <c r="I69" t="s">
        <v>70</v>
      </c>
      <c r="J69" t="s">
        <v>24</v>
      </c>
      <c r="K69">
        <v>1998</v>
      </c>
      <c r="L69" t="s">
        <v>37</v>
      </c>
      <c r="M69">
        <v>1317</v>
      </c>
      <c r="N69">
        <v>3</v>
      </c>
      <c r="O69">
        <v>2</v>
      </c>
      <c r="Q69">
        <v>32.259408000000001</v>
      </c>
      <c r="R69">
        <v>-111.014218</v>
      </c>
      <c r="T69" t="str">
        <f t="shared" si="0"/>
        <v>3</v>
      </c>
      <c r="U69" t="str">
        <f t="shared" si="1"/>
        <v>2</v>
      </c>
    </row>
    <row r="70" spans="1:21" x14ac:dyDescent="0.3">
      <c r="A70" t="s">
        <v>108</v>
      </c>
      <c r="B70">
        <v>85706</v>
      </c>
      <c r="C70" t="s">
        <v>67</v>
      </c>
      <c r="D70" t="s">
        <v>68</v>
      </c>
      <c r="E70" t="s">
        <v>22</v>
      </c>
      <c r="F70" t="s">
        <v>69</v>
      </c>
      <c r="G70" t="s">
        <v>67</v>
      </c>
      <c r="I70" t="s">
        <v>70</v>
      </c>
      <c r="J70" t="s">
        <v>24</v>
      </c>
      <c r="K70">
        <v>1976</v>
      </c>
      <c r="L70" t="s">
        <v>37</v>
      </c>
      <c r="M70">
        <v>1524</v>
      </c>
      <c r="N70">
        <v>3</v>
      </c>
      <c r="O70">
        <v>2</v>
      </c>
      <c r="Q70">
        <v>32.159090999999997</v>
      </c>
      <c r="R70">
        <v>-110.937089</v>
      </c>
      <c r="T70" t="str">
        <f t="shared" si="0"/>
        <v>3</v>
      </c>
      <c r="U70" t="str">
        <f t="shared" si="1"/>
        <v>2</v>
      </c>
    </row>
    <row r="71" spans="1:21" x14ac:dyDescent="0.3">
      <c r="A71" t="s">
        <v>109</v>
      </c>
      <c r="B71">
        <v>85706</v>
      </c>
      <c r="C71" t="s">
        <v>67</v>
      </c>
      <c r="D71" t="s">
        <v>68</v>
      </c>
      <c r="E71" t="s">
        <v>22</v>
      </c>
      <c r="F71" t="s">
        <v>69</v>
      </c>
      <c r="G71" t="s">
        <v>67</v>
      </c>
      <c r="I71" t="s">
        <v>70</v>
      </c>
      <c r="J71" t="s">
        <v>24</v>
      </c>
      <c r="K71">
        <v>2000</v>
      </c>
      <c r="L71" t="s">
        <v>37</v>
      </c>
      <c r="M71">
        <v>1300</v>
      </c>
      <c r="N71">
        <v>3</v>
      </c>
      <c r="O71">
        <v>2</v>
      </c>
      <c r="Q71">
        <v>32.152957999999998</v>
      </c>
      <c r="R71">
        <v>-110.93449200000001</v>
      </c>
      <c r="T71" t="str">
        <f t="shared" si="0"/>
        <v>3</v>
      </c>
      <c r="U71" t="str">
        <f t="shared" si="1"/>
        <v>2</v>
      </c>
    </row>
    <row r="72" spans="1:21" x14ac:dyDescent="0.3">
      <c r="A72" t="s">
        <v>110</v>
      </c>
      <c r="B72">
        <v>85706</v>
      </c>
      <c r="C72" t="s">
        <v>67</v>
      </c>
      <c r="D72" t="s">
        <v>68</v>
      </c>
      <c r="E72" t="s">
        <v>22</v>
      </c>
      <c r="F72" t="s">
        <v>69</v>
      </c>
      <c r="G72" t="s">
        <v>67</v>
      </c>
      <c r="I72" t="s">
        <v>70</v>
      </c>
      <c r="J72" t="s">
        <v>24</v>
      </c>
      <c r="K72">
        <v>2004</v>
      </c>
      <c r="L72" t="s">
        <v>37</v>
      </c>
      <c r="M72">
        <v>1318</v>
      </c>
      <c r="N72">
        <v>3</v>
      </c>
      <c r="O72">
        <v>2</v>
      </c>
      <c r="Q72">
        <v>32.157724000000002</v>
      </c>
      <c r="R72">
        <v>-110.931906</v>
      </c>
      <c r="T72" t="str">
        <f t="shared" si="0"/>
        <v>3</v>
      </c>
      <c r="U72" t="str">
        <f t="shared" si="1"/>
        <v>2</v>
      </c>
    </row>
    <row r="73" spans="1:21" x14ac:dyDescent="0.3">
      <c r="A73" t="s">
        <v>111</v>
      </c>
      <c r="B73">
        <v>85706</v>
      </c>
      <c r="C73" t="s">
        <v>67</v>
      </c>
      <c r="D73" t="s">
        <v>68</v>
      </c>
      <c r="E73" t="s">
        <v>22</v>
      </c>
      <c r="F73" t="s">
        <v>69</v>
      </c>
      <c r="G73" t="s">
        <v>67</v>
      </c>
      <c r="I73" t="s">
        <v>70</v>
      </c>
      <c r="J73" t="s">
        <v>24</v>
      </c>
      <c r="K73">
        <v>1999</v>
      </c>
      <c r="L73" t="s">
        <v>37</v>
      </c>
      <c r="M73">
        <v>1304</v>
      </c>
      <c r="N73">
        <v>3</v>
      </c>
      <c r="O73">
        <v>2</v>
      </c>
      <c r="Q73">
        <v>32.160977000000003</v>
      </c>
      <c r="R73">
        <v>-110.971908</v>
      </c>
      <c r="T73" t="str">
        <f t="shared" si="0"/>
        <v>3</v>
      </c>
      <c r="U73" t="str">
        <f t="shared" si="1"/>
        <v>2</v>
      </c>
    </row>
    <row r="74" spans="1:21" x14ac:dyDescent="0.3">
      <c r="A74" t="s">
        <v>112</v>
      </c>
      <c r="B74">
        <v>85706</v>
      </c>
      <c r="C74" t="s">
        <v>67</v>
      </c>
      <c r="D74" t="s">
        <v>68</v>
      </c>
      <c r="E74" t="s">
        <v>22</v>
      </c>
      <c r="F74" t="s">
        <v>69</v>
      </c>
      <c r="G74" t="s">
        <v>67</v>
      </c>
      <c r="I74" t="s">
        <v>70</v>
      </c>
      <c r="J74" t="s">
        <v>24</v>
      </c>
      <c r="K74">
        <v>2002</v>
      </c>
      <c r="L74" t="s">
        <v>37</v>
      </c>
      <c r="M74">
        <v>958</v>
      </c>
      <c r="N74">
        <v>2</v>
      </c>
      <c r="O74">
        <v>1</v>
      </c>
      <c r="Q74">
        <v>32.154176999999997</v>
      </c>
      <c r="R74">
        <v>-110.931712</v>
      </c>
      <c r="T74" t="str">
        <f t="shared" si="0"/>
        <v>2</v>
      </c>
      <c r="U74" t="str">
        <f t="shared" si="1"/>
        <v>1</v>
      </c>
    </row>
    <row r="75" spans="1:21" x14ac:dyDescent="0.3">
      <c r="A75" t="s">
        <v>113</v>
      </c>
      <c r="B75">
        <v>85706</v>
      </c>
      <c r="C75" t="s">
        <v>67</v>
      </c>
      <c r="D75" t="s">
        <v>68</v>
      </c>
      <c r="E75" t="s">
        <v>22</v>
      </c>
      <c r="F75" t="s">
        <v>69</v>
      </c>
      <c r="G75" t="s">
        <v>67</v>
      </c>
      <c r="I75" t="s">
        <v>70</v>
      </c>
      <c r="J75" t="s">
        <v>24</v>
      </c>
      <c r="K75">
        <v>2001</v>
      </c>
      <c r="L75" t="s">
        <v>37</v>
      </c>
      <c r="M75">
        <v>1652</v>
      </c>
      <c r="N75">
        <v>4</v>
      </c>
      <c r="O75">
        <v>2</v>
      </c>
      <c r="Q75">
        <v>32.151452999999997</v>
      </c>
      <c r="R75">
        <v>-110.92801900000001</v>
      </c>
      <c r="T75" t="str">
        <f t="shared" si="0"/>
        <v>4</v>
      </c>
      <c r="U75" t="str">
        <f t="shared" si="1"/>
        <v>2</v>
      </c>
    </row>
    <row r="76" spans="1:21" x14ac:dyDescent="0.3">
      <c r="A76" t="s">
        <v>114</v>
      </c>
      <c r="B76">
        <v>85706</v>
      </c>
      <c r="C76" t="s">
        <v>67</v>
      </c>
      <c r="D76" t="s">
        <v>68</v>
      </c>
      <c r="E76" t="s">
        <v>22</v>
      </c>
      <c r="F76" t="s">
        <v>69</v>
      </c>
      <c r="G76" t="s">
        <v>67</v>
      </c>
      <c r="I76" t="s">
        <v>70</v>
      </c>
      <c r="J76" t="s">
        <v>24</v>
      </c>
      <c r="K76">
        <v>2001</v>
      </c>
      <c r="L76" t="s">
        <v>37</v>
      </c>
      <c r="M76">
        <v>1580</v>
      </c>
      <c r="N76">
        <v>3</v>
      </c>
      <c r="O76">
        <v>2</v>
      </c>
      <c r="Q76">
        <v>32.151024</v>
      </c>
      <c r="R76">
        <v>-110.927685</v>
      </c>
      <c r="T76" t="str">
        <f t="shared" si="0"/>
        <v>3</v>
      </c>
      <c r="U76" t="str">
        <f t="shared" si="1"/>
        <v>2</v>
      </c>
    </row>
    <row r="77" spans="1:21" x14ac:dyDescent="0.3">
      <c r="A77" t="s">
        <v>115</v>
      </c>
      <c r="B77">
        <v>85730</v>
      </c>
      <c r="C77" t="s">
        <v>67</v>
      </c>
      <c r="D77" t="s">
        <v>68</v>
      </c>
      <c r="E77" t="s">
        <v>22</v>
      </c>
      <c r="F77" t="s">
        <v>69</v>
      </c>
      <c r="G77" t="s">
        <v>67</v>
      </c>
      <c r="I77" t="s">
        <v>70</v>
      </c>
      <c r="J77" t="s">
        <v>24</v>
      </c>
      <c r="K77">
        <v>2006</v>
      </c>
      <c r="L77" t="s">
        <v>37</v>
      </c>
      <c r="M77">
        <v>1795</v>
      </c>
      <c r="N77">
        <v>4</v>
      </c>
      <c r="O77">
        <v>2</v>
      </c>
      <c r="Q77">
        <v>32.187435999999998</v>
      </c>
      <c r="R77">
        <v>-110.807284</v>
      </c>
      <c r="T77" t="str">
        <f t="shared" si="0"/>
        <v>4</v>
      </c>
      <c r="U77" t="str">
        <f t="shared" si="1"/>
        <v>2</v>
      </c>
    </row>
    <row r="78" spans="1:21" x14ac:dyDescent="0.3">
      <c r="A78" t="s">
        <v>116</v>
      </c>
      <c r="B78">
        <v>85745</v>
      </c>
      <c r="C78" t="s">
        <v>67</v>
      </c>
      <c r="D78" t="s">
        <v>68</v>
      </c>
      <c r="E78" t="s">
        <v>22</v>
      </c>
      <c r="F78" t="s">
        <v>69</v>
      </c>
      <c r="G78" t="s">
        <v>67</v>
      </c>
      <c r="I78" t="s">
        <v>70</v>
      </c>
      <c r="J78" t="s">
        <v>24</v>
      </c>
      <c r="K78">
        <v>2000</v>
      </c>
      <c r="L78" t="s">
        <v>37</v>
      </c>
      <c r="M78">
        <v>1622</v>
      </c>
      <c r="N78">
        <v>3</v>
      </c>
      <c r="O78">
        <v>2</v>
      </c>
      <c r="Q78">
        <v>32.260033</v>
      </c>
      <c r="R78">
        <v>-111.012711</v>
      </c>
      <c r="T78" t="str">
        <f t="shared" si="0"/>
        <v>3</v>
      </c>
      <c r="U78" t="str">
        <f t="shared" si="1"/>
        <v>2</v>
      </c>
    </row>
    <row r="79" spans="1:21" x14ac:dyDescent="0.3">
      <c r="A79" s="4" t="s">
        <v>117</v>
      </c>
      <c r="B79">
        <v>85746</v>
      </c>
      <c r="C79" t="s">
        <v>67</v>
      </c>
      <c r="D79" t="s">
        <v>68</v>
      </c>
      <c r="E79" t="s">
        <v>22</v>
      </c>
      <c r="F79" t="s">
        <v>69</v>
      </c>
      <c r="G79" t="s">
        <v>67</v>
      </c>
      <c r="K79">
        <v>1989</v>
      </c>
      <c r="L79" t="s">
        <v>37</v>
      </c>
      <c r="M79">
        <v>1635</v>
      </c>
      <c r="N79">
        <v>3</v>
      </c>
      <c r="O79">
        <v>2</v>
      </c>
      <c r="Q79">
        <v>32.122447000000001</v>
      </c>
      <c r="R79">
        <v>-111.033919</v>
      </c>
      <c r="T79" t="str">
        <f t="shared" si="0"/>
        <v>3</v>
      </c>
      <c r="U79" t="str">
        <f t="shared" si="1"/>
        <v>2</v>
      </c>
    </row>
    <row r="80" spans="1:21" x14ac:dyDescent="0.3">
      <c r="A80" t="s">
        <v>118</v>
      </c>
      <c r="B80">
        <v>85716</v>
      </c>
      <c r="C80" t="s">
        <v>67</v>
      </c>
      <c r="D80" t="s">
        <v>68</v>
      </c>
      <c r="E80" t="s">
        <v>22</v>
      </c>
      <c r="F80" t="s">
        <v>69</v>
      </c>
      <c r="G80" t="s">
        <v>67</v>
      </c>
      <c r="I80" t="s">
        <v>70</v>
      </c>
      <c r="J80" t="s">
        <v>24</v>
      </c>
      <c r="K80">
        <v>1956</v>
      </c>
      <c r="L80" t="s">
        <v>37</v>
      </c>
      <c r="M80">
        <v>1552</v>
      </c>
      <c r="N80">
        <v>2</v>
      </c>
      <c r="O80">
        <v>1</v>
      </c>
      <c r="Q80">
        <v>32.268107999999998</v>
      </c>
      <c r="R80">
        <v>-110.923467</v>
      </c>
      <c r="T80" t="str">
        <f t="shared" si="0"/>
        <v>2</v>
      </c>
      <c r="U80" t="str">
        <f t="shared" si="1"/>
        <v>1</v>
      </c>
    </row>
    <row r="81" spans="1:21" x14ac:dyDescent="0.3">
      <c r="A81" t="s">
        <v>119</v>
      </c>
      <c r="B81">
        <v>85746</v>
      </c>
      <c r="C81" t="s">
        <v>67</v>
      </c>
      <c r="D81" t="s">
        <v>68</v>
      </c>
      <c r="E81" t="s">
        <v>22</v>
      </c>
      <c r="F81" t="s">
        <v>69</v>
      </c>
      <c r="G81" t="s">
        <v>67</v>
      </c>
      <c r="I81" t="s">
        <v>70</v>
      </c>
      <c r="J81" t="s">
        <v>24</v>
      </c>
      <c r="K81">
        <v>1992</v>
      </c>
      <c r="L81" t="s">
        <v>37</v>
      </c>
      <c r="M81">
        <v>1605</v>
      </c>
      <c r="N81">
        <v>3</v>
      </c>
      <c r="O81">
        <v>2</v>
      </c>
      <c r="Q81">
        <v>32.122664999999998</v>
      </c>
      <c r="R81">
        <v>-111.03438300000001</v>
      </c>
      <c r="T81" t="str">
        <f t="shared" si="0"/>
        <v>3</v>
      </c>
      <c r="U81" t="str">
        <f t="shared" si="1"/>
        <v>2</v>
      </c>
    </row>
    <row r="82" spans="1:21" x14ac:dyDescent="0.3">
      <c r="A82" t="s">
        <v>120</v>
      </c>
      <c r="B82">
        <v>85730</v>
      </c>
      <c r="C82" t="s">
        <v>67</v>
      </c>
      <c r="D82" t="s">
        <v>68</v>
      </c>
      <c r="E82" t="s">
        <v>22</v>
      </c>
      <c r="F82" t="s">
        <v>69</v>
      </c>
      <c r="G82" t="s">
        <v>67</v>
      </c>
      <c r="I82" t="s">
        <v>70</v>
      </c>
      <c r="J82" t="s">
        <v>24</v>
      </c>
      <c r="K82">
        <v>1970</v>
      </c>
      <c r="L82" t="s">
        <v>37</v>
      </c>
      <c r="M82">
        <v>1182</v>
      </c>
      <c r="N82">
        <v>3</v>
      </c>
      <c r="O82">
        <v>2</v>
      </c>
      <c r="Q82">
        <v>32.182315000000003</v>
      </c>
      <c r="R82">
        <v>-110.850098</v>
      </c>
      <c r="T82" t="str">
        <f t="shared" si="0"/>
        <v>3</v>
      </c>
      <c r="U82" t="str">
        <f t="shared" si="1"/>
        <v>2</v>
      </c>
    </row>
    <row r="83" spans="1:21" x14ac:dyDescent="0.3">
      <c r="A83" t="s">
        <v>121</v>
      </c>
      <c r="B83">
        <v>85746</v>
      </c>
      <c r="C83" t="s">
        <v>67</v>
      </c>
      <c r="D83" t="s">
        <v>68</v>
      </c>
      <c r="E83" t="s">
        <v>22</v>
      </c>
      <c r="F83" t="s">
        <v>69</v>
      </c>
      <c r="G83" t="s">
        <v>67</v>
      </c>
      <c r="I83" t="s">
        <v>70</v>
      </c>
      <c r="J83" t="s">
        <v>24</v>
      </c>
      <c r="K83">
        <v>1993</v>
      </c>
      <c r="L83" t="s">
        <v>37</v>
      </c>
      <c r="M83">
        <v>1236</v>
      </c>
      <c r="N83">
        <v>3</v>
      </c>
      <c r="O83">
        <v>2</v>
      </c>
      <c r="Q83">
        <v>32.121073000000003</v>
      </c>
      <c r="R83">
        <v>-111.041724</v>
      </c>
      <c r="T83" t="str">
        <f t="shared" si="0"/>
        <v>3</v>
      </c>
      <c r="U83" t="str">
        <f t="shared" si="1"/>
        <v>2</v>
      </c>
    </row>
    <row r="84" spans="1:21" x14ac:dyDescent="0.3">
      <c r="A84" t="s">
        <v>122</v>
      </c>
      <c r="B84">
        <v>85706</v>
      </c>
      <c r="C84" t="s">
        <v>67</v>
      </c>
      <c r="D84" t="s">
        <v>68</v>
      </c>
      <c r="E84" t="s">
        <v>22</v>
      </c>
      <c r="F84" t="s">
        <v>69</v>
      </c>
      <c r="G84" t="s">
        <v>67</v>
      </c>
      <c r="I84" t="s">
        <v>70</v>
      </c>
      <c r="J84" t="s">
        <v>24</v>
      </c>
      <c r="K84">
        <v>2003</v>
      </c>
      <c r="L84" t="s">
        <v>37</v>
      </c>
      <c r="M84">
        <v>1424</v>
      </c>
      <c r="N84">
        <v>3</v>
      </c>
      <c r="O84">
        <v>2</v>
      </c>
      <c r="Q84">
        <v>32.138975000000002</v>
      </c>
      <c r="R84">
        <v>-110.91250100000001</v>
      </c>
      <c r="T84" t="str">
        <f t="shared" si="0"/>
        <v>3</v>
      </c>
      <c r="U84" t="str">
        <f t="shared" si="1"/>
        <v>2</v>
      </c>
    </row>
    <row r="85" spans="1:21" x14ac:dyDescent="0.3">
      <c r="A85" t="s">
        <v>123</v>
      </c>
      <c r="B85">
        <v>85706</v>
      </c>
      <c r="C85" t="s">
        <v>67</v>
      </c>
      <c r="D85" t="s">
        <v>68</v>
      </c>
      <c r="E85" t="s">
        <v>22</v>
      </c>
      <c r="F85" t="s">
        <v>69</v>
      </c>
      <c r="G85" t="s">
        <v>67</v>
      </c>
      <c r="I85" t="s">
        <v>70</v>
      </c>
      <c r="J85" t="s">
        <v>24</v>
      </c>
      <c r="K85">
        <v>2004</v>
      </c>
      <c r="L85" t="s">
        <v>37</v>
      </c>
      <c r="M85">
        <v>2234</v>
      </c>
      <c r="N85">
        <v>4</v>
      </c>
      <c r="O85">
        <v>3</v>
      </c>
      <c r="Q85">
        <v>32.136226999999998</v>
      </c>
      <c r="R85">
        <v>-110.900369</v>
      </c>
      <c r="T85" t="str">
        <f t="shared" si="0"/>
        <v>4</v>
      </c>
      <c r="U85" t="str">
        <f t="shared" si="1"/>
        <v>3</v>
      </c>
    </row>
    <row r="86" spans="1:21" x14ac:dyDescent="0.3">
      <c r="A86" t="s">
        <v>124</v>
      </c>
      <c r="B86">
        <v>85746</v>
      </c>
      <c r="C86" t="s">
        <v>67</v>
      </c>
      <c r="D86" t="s">
        <v>68</v>
      </c>
      <c r="E86" t="s">
        <v>22</v>
      </c>
      <c r="F86" t="s">
        <v>69</v>
      </c>
      <c r="G86" t="s">
        <v>67</v>
      </c>
      <c r="I86" t="s">
        <v>70</v>
      </c>
      <c r="J86" t="s">
        <v>24</v>
      </c>
      <c r="K86">
        <v>2006</v>
      </c>
      <c r="L86" t="s">
        <v>37</v>
      </c>
      <c r="M86">
        <v>1825</v>
      </c>
      <c r="N86">
        <v>4</v>
      </c>
      <c r="O86">
        <v>2</v>
      </c>
      <c r="Q86">
        <v>32.163493000000003</v>
      </c>
      <c r="R86">
        <v>-111.001459</v>
      </c>
      <c r="T86" t="str">
        <f t="shared" si="0"/>
        <v>4</v>
      </c>
      <c r="U86" t="str">
        <f t="shared" si="1"/>
        <v>2</v>
      </c>
    </row>
    <row r="87" spans="1:21" x14ac:dyDescent="0.3">
      <c r="A87" t="s">
        <v>125</v>
      </c>
      <c r="B87">
        <v>85714</v>
      </c>
      <c r="C87" t="s">
        <v>67</v>
      </c>
      <c r="D87" t="s">
        <v>68</v>
      </c>
      <c r="E87" t="s">
        <v>22</v>
      </c>
      <c r="F87" t="s">
        <v>69</v>
      </c>
      <c r="G87" t="s">
        <v>67</v>
      </c>
      <c r="I87" t="s">
        <v>70</v>
      </c>
      <c r="J87" t="s">
        <v>24</v>
      </c>
      <c r="K87">
        <v>2002</v>
      </c>
      <c r="L87" t="s">
        <v>37</v>
      </c>
      <c r="M87">
        <v>1873</v>
      </c>
      <c r="N87">
        <v>4</v>
      </c>
      <c r="O87">
        <v>2</v>
      </c>
      <c r="Q87">
        <v>32.167287999999999</v>
      </c>
      <c r="R87">
        <v>-110.99350699999999</v>
      </c>
      <c r="T87" t="str">
        <f t="shared" si="0"/>
        <v>4</v>
      </c>
      <c r="U87" t="str">
        <f t="shared" si="1"/>
        <v>2</v>
      </c>
    </row>
    <row r="88" spans="1:21" x14ac:dyDescent="0.3">
      <c r="A88" t="s">
        <v>126</v>
      </c>
      <c r="B88">
        <v>85706</v>
      </c>
      <c r="C88" t="s">
        <v>67</v>
      </c>
      <c r="D88" t="s">
        <v>68</v>
      </c>
      <c r="E88" t="s">
        <v>22</v>
      </c>
      <c r="F88" t="s">
        <v>69</v>
      </c>
      <c r="G88" t="s">
        <v>67</v>
      </c>
      <c r="I88" t="s">
        <v>70</v>
      </c>
      <c r="J88" t="s">
        <v>24</v>
      </c>
      <c r="K88">
        <v>2003</v>
      </c>
      <c r="L88" t="s">
        <v>37</v>
      </c>
      <c r="M88">
        <v>1417</v>
      </c>
      <c r="N88">
        <v>3</v>
      </c>
      <c r="O88">
        <v>2</v>
      </c>
      <c r="Q88">
        <v>32.135078</v>
      </c>
      <c r="R88">
        <v>-110.899198</v>
      </c>
      <c r="T88" t="str">
        <f t="shared" si="0"/>
        <v>3</v>
      </c>
      <c r="U88" t="str">
        <f t="shared" si="1"/>
        <v>2</v>
      </c>
    </row>
    <row r="89" spans="1:21" x14ac:dyDescent="0.3">
      <c r="A89" t="s">
        <v>127</v>
      </c>
      <c r="B89">
        <v>85706</v>
      </c>
      <c r="C89" t="s">
        <v>67</v>
      </c>
      <c r="D89" t="s">
        <v>68</v>
      </c>
      <c r="E89" t="s">
        <v>22</v>
      </c>
      <c r="F89" t="s">
        <v>69</v>
      </c>
      <c r="G89" t="s">
        <v>67</v>
      </c>
      <c r="I89" t="s">
        <v>70</v>
      </c>
      <c r="J89" t="s">
        <v>24</v>
      </c>
      <c r="K89">
        <v>1976</v>
      </c>
      <c r="L89" t="s">
        <v>37</v>
      </c>
      <c r="M89">
        <v>1491</v>
      </c>
      <c r="N89">
        <v>3</v>
      </c>
      <c r="O89">
        <v>1</v>
      </c>
      <c r="Q89">
        <v>32.161582000000003</v>
      </c>
      <c r="R89">
        <v>-110.936188</v>
      </c>
      <c r="T89" t="str">
        <f t="shared" si="0"/>
        <v>3</v>
      </c>
      <c r="U89" t="str">
        <f t="shared" si="1"/>
        <v>1</v>
      </c>
    </row>
    <row r="90" spans="1:21" x14ac:dyDescent="0.3">
      <c r="A90" t="s">
        <v>128</v>
      </c>
      <c r="B90">
        <v>85746</v>
      </c>
      <c r="C90" t="s">
        <v>67</v>
      </c>
      <c r="D90" t="s">
        <v>68</v>
      </c>
      <c r="E90" t="s">
        <v>22</v>
      </c>
      <c r="F90" t="s">
        <v>69</v>
      </c>
      <c r="G90" t="s">
        <v>67</v>
      </c>
      <c r="I90" t="s">
        <v>70</v>
      </c>
      <c r="J90" t="s">
        <v>24</v>
      </c>
      <c r="K90">
        <v>1986</v>
      </c>
      <c r="L90" t="s">
        <v>37</v>
      </c>
      <c r="M90">
        <v>1170</v>
      </c>
      <c r="N90">
        <v>2</v>
      </c>
      <c r="O90">
        <v>2</v>
      </c>
      <c r="Q90">
        <v>32.157845999999999</v>
      </c>
      <c r="R90">
        <v>-111.002478</v>
      </c>
      <c r="T90" t="str">
        <f t="shared" si="0"/>
        <v>2</v>
      </c>
      <c r="U90" t="str">
        <f t="shared" si="1"/>
        <v>2</v>
      </c>
    </row>
    <row r="91" spans="1:21" x14ac:dyDescent="0.3">
      <c r="A91" t="s">
        <v>129</v>
      </c>
      <c r="B91">
        <v>85706</v>
      </c>
      <c r="C91" t="s">
        <v>67</v>
      </c>
      <c r="D91" t="s">
        <v>68</v>
      </c>
      <c r="E91" t="s">
        <v>22</v>
      </c>
      <c r="F91" t="s">
        <v>69</v>
      </c>
      <c r="G91" t="s">
        <v>67</v>
      </c>
      <c r="I91" t="s">
        <v>70</v>
      </c>
      <c r="J91" t="s">
        <v>24</v>
      </c>
      <c r="K91">
        <v>2004</v>
      </c>
      <c r="L91" t="s">
        <v>37</v>
      </c>
      <c r="M91">
        <v>1538</v>
      </c>
      <c r="N91">
        <v>4</v>
      </c>
      <c r="O91">
        <v>2</v>
      </c>
      <c r="Q91">
        <v>32.157561000000001</v>
      </c>
      <c r="R91">
        <v>-110.93022499999999</v>
      </c>
      <c r="T91" t="str">
        <f t="shared" si="0"/>
        <v>4</v>
      </c>
      <c r="U91" t="str">
        <f t="shared" si="1"/>
        <v>2</v>
      </c>
    </row>
    <row r="92" spans="1:21" x14ac:dyDescent="0.3">
      <c r="A92" t="s">
        <v>130</v>
      </c>
      <c r="B92">
        <v>85711</v>
      </c>
      <c r="C92" t="s">
        <v>67</v>
      </c>
      <c r="D92" t="s">
        <v>68</v>
      </c>
      <c r="E92" t="s">
        <v>22</v>
      </c>
      <c r="F92" t="s">
        <v>69</v>
      </c>
      <c r="G92" t="s">
        <v>67</v>
      </c>
      <c r="I92" t="s">
        <v>70</v>
      </c>
      <c r="J92" t="s">
        <v>24</v>
      </c>
      <c r="K92">
        <v>1959</v>
      </c>
      <c r="L92" t="s">
        <v>37</v>
      </c>
      <c r="M92">
        <v>1864</v>
      </c>
      <c r="N92">
        <v>4</v>
      </c>
      <c r="O92">
        <v>2</v>
      </c>
      <c r="Q92">
        <v>32.203909000000003</v>
      </c>
      <c r="R92">
        <v>-110.88104</v>
      </c>
      <c r="T92" t="str">
        <f t="shared" si="0"/>
        <v>4</v>
      </c>
      <c r="U92" t="str">
        <f t="shared" si="1"/>
        <v>2</v>
      </c>
    </row>
    <row r="93" spans="1:21" x14ac:dyDescent="0.3">
      <c r="A93" t="s">
        <v>131</v>
      </c>
      <c r="B93">
        <v>85746</v>
      </c>
      <c r="C93" t="s">
        <v>67</v>
      </c>
      <c r="D93" t="s">
        <v>68</v>
      </c>
      <c r="E93" t="s">
        <v>22</v>
      </c>
      <c r="F93" t="s">
        <v>69</v>
      </c>
      <c r="G93" t="s">
        <v>67</v>
      </c>
      <c r="I93" t="s">
        <v>70</v>
      </c>
      <c r="J93" t="s">
        <v>24</v>
      </c>
      <c r="K93">
        <v>2002</v>
      </c>
      <c r="L93" t="s">
        <v>37</v>
      </c>
      <c r="M93">
        <v>1642</v>
      </c>
      <c r="N93">
        <v>4</v>
      </c>
      <c r="O93">
        <v>2</v>
      </c>
      <c r="Q93">
        <v>32.158479999999997</v>
      </c>
      <c r="R93">
        <v>-111.000592</v>
      </c>
      <c r="T93" t="str">
        <f t="shared" si="0"/>
        <v>4</v>
      </c>
      <c r="U93" t="str">
        <f t="shared" si="1"/>
        <v>2</v>
      </c>
    </row>
    <row r="94" spans="1:21" x14ac:dyDescent="0.3">
      <c r="A94" t="s">
        <v>132</v>
      </c>
      <c r="B94">
        <v>85706</v>
      </c>
      <c r="C94" t="s">
        <v>67</v>
      </c>
      <c r="D94" t="s">
        <v>68</v>
      </c>
      <c r="E94" t="s">
        <v>22</v>
      </c>
      <c r="F94" t="s">
        <v>69</v>
      </c>
      <c r="G94" t="s">
        <v>67</v>
      </c>
      <c r="I94" t="s">
        <v>70</v>
      </c>
      <c r="J94" t="s">
        <v>24</v>
      </c>
      <c r="K94">
        <v>1996</v>
      </c>
      <c r="L94" t="s">
        <v>37</v>
      </c>
      <c r="M94">
        <v>1129</v>
      </c>
      <c r="N94">
        <v>3</v>
      </c>
      <c r="O94">
        <v>2</v>
      </c>
      <c r="Q94">
        <v>32.157117</v>
      </c>
      <c r="R94">
        <v>-110.95031899999999</v>
      </c>
      <c r="T94" t="str">
        <f t="shared" si="0"/>
        <v>3</v>
      </c>
      <c r="U94" t="str">
        <f t="shared" si="1"/>
        <v>2</v>
      </c>
    </row>
    <row r="95" spans="1:21" x14ac:dyDescent="0.3">
      <c r="A95" t="s">
        <v>133</v>
      </c>
      <c r="B95">
        <v>85706</v>
      </c>
      <c r="C95" t="s">
        <v>67</v>
      </c>
      <c r="D95" t="s">
        <v>68</v>
      </c>
      <c r="E95" t="s">
        <v>22</v>
      </c>
      <c r="F95" t="s">
        <v>69</v>
      </c>
      <c r="G95" t="s">
        <v>67</v>
      </c>
      <c r="I95" t="s">
        <v>70</v>
      </c>
      <c r="J95" t="s">
        <v>24</v>
      </c>
      <c r="K95">
        <v>2000</v>
      </c>
      <c r="L95" t="s">
        <v>37</v>
      </c>
      <c r="M95">
        <v>1513</v>
      </c>
      <c r="N95">
        <v>4</v>
      </c>
      <c r="O95">
        <v>2</v>
      </c>
      <c r="Q95">
        <v>32.153967999999999</v>
      </c>
      <c r="R95">
        <v>-110.932435</v>
      </c>
      <c r="T95" t="str">
        <f t="shared" si="0"/>
        <v>4</v>
      </c>
      <c r="U95" t="str">
        <f t="shared" si="1"/>
        <v>2</v>
      </c>
    </row>
    <row r="96" spans="1:21" x14ac:dyDescent="0.3">
      <c r="A96" t="s">
        <v>134</v>
      </c>
      <c r="B96">
        <v>85746</v>
      </c>
      <c r="C96" t="s">
        <v>67</v>
      </c>
      <c r="D96" t="s">
        <v>68</v>
      </c>
      <c r="E96" t="s">
        <v>22</v>
      </c>
      <c r="F96" t="s">
        <v>69</v>
      </c>
      <c r="G96" t="s">
        <v>67</v>
      </c>
      <c r="I96" t="s">
        <v>70</v>
      </c>
      <c r="J96" t="s">
        <v>24</v>
      </c>
      <c r="K96">
        <v>2002</v>
      </c>
      <c r="L96" t="s">
        <v>37</v>
      </c>
      <c r="M96">
        <v>1343</v>
      </c>
      <c r="N96">
        <v>3</v>
      </c>
      <c r="O96">
        <v>2</v>
      </c>
      <c r="Q96">
        <v>32.156106999999999</v>
      </c>
      <c r="R96">
        <v>-110.995632</v>
      </c>
      <c r="T96" t="str">
        <f t="shared" si="0"/>
        <v>3</v>
      </c>
      <c r="U96" t="str">
        <f t="shared" si="1"/>
        <v>2</v>
      </c>
    </row>
    <row r="97" spans="1:21" x14ac:dyDescent="0.3">
      <c r="A97" t="s">
        <v>135</v>
      </c>
      <c r="B97">
        <v>85746</v>
      </c>
      <c r="C97" t="s">
        <v>67</v>
      </c>
      <c r="D97" t="s">
        <v>68</v>
      </c>
      <c r="E97" t="s">
        <v>22</v>
      </c>
      <c r="F97" t="s">
        <v>69</v>
      </c>
      <c r="G97" t="s">
        <v>67</v>
      </c>
      <c r="I97" t="s">
        <v>70</v>
      </c>
      <c r="J97" t="s">
        <v>24</v>
      </c>
      <c r="K97">
        <v>2000</v>
      </c>
      <c r="L97" t="s">
        <v>37</v>
      </c>
      <c r="M97">
        <v>1498</v>
      </c>
      <c r="N97">
        <v>3</v>
      </c>
      <c r="O97">
        <v>2</v>
      </c>
      <c r="Q97">
        <v>32.152717000000003</v>
      </c>
      <c r="R97">
        <v>-110.995615</v>
      </c>
      <c r="T97" t="str">
        <f t="shared" ref="T97:T141" si="2">SUBSTITUTE(N97, "B", "")</f>
        <v>3</v>
      </c>
      <c r="U97" t="str">
        <f t="shared" ref="U97:U141" si="3">SUBSTITUTE(O97, "B", "")</f>
        <v>2</v>
      </c>
    </row>
    <row r="98" spans="1:21" x14ac:dyDescent="0.3">
      <c r="A98" t="s">
        <v>136</v>
      </c>
      <c r="B98">
        <v>85706</v>
      </c>
      <c r="C98" t="s">
        <v>67</v>
      </c>
      <c r="D98" t="s">
        <v>68</v>
      </c>
      <c r="E98" t="s">
        <v>22</v>
      </c>
      <c r="F98" t="s">
        <v>69</v>
      </c>
      <c r="G98" t="s">
        <v>67</v>
      </c>
      <c r="I98" t="s">
        <v>70</v>
      </c>
      <c r="J98" t="s">
        <v>24</v>
      </c>
      <c r="K98">
        <v>1975</v>
      </c>
      <c r="L98" t="s">
        <v>37</v>
      </c>
      <c r="M98">
        <v>1326</v>
      </c>
      <c r="N98">
        <v>4</v>
      </c>
      <c r="O98">
        <v>2</v>
      </c>
      <c r="Q98">
        <v>32.151274000000001</v>
      </c>
      <c r="R98">
        <v>-110.95804099999999</v>
      </c>
      <c r="T98" t="str">
        <f t="shared" si="2"/>
        <v>4</v>
      </c>
      <c r="U98" t="str">
        <f t="shared" si="3"/>
        <v>2</v>
      </c>
    </row>
    <row r="99" spans="1:21" x14ac:dyDescent="0.3">
      <c r="A99" t="s">
        <v>137</v>
      </c>
      <c r="B99">
        <v>85706</v>
      </c>
      <c r="C99" t="s">
        <v>67</v>
      </c>
      <c r="D99" t="s">
        <v>68</v>
      </c>
      <c r="E99" t="s">
        <v>22</v>
      </c>
      <c r="F99" t="s">
        <v>69</v>
      </c>
      <c r="G99" t="s">
        <v>67</v>
      </c>
      <c r="I99" t="s">
        <v>70</v>
      </c>
      <c r="J99" t="s">
        <v>24</v>
      </c>
      <c r="K99">
        <v>2000</v>
      </c>
      <c r="L99" t="s">
        <v>37</v>
      </c>
      <c r="M99">
        <v>1631</v>
      </c>
      <c r="N99">
        <v>3</v>
      </c>
      <c r="O99">
        <v>2</v>
      </c>
      <c r="Q99">
        <v>32.151522</v>
      </c>
      <c r="R99">
        <v>-110.92722999999999</v>
      </c>
      <c r="T99" t="str">
        <f t="shared" si="2"/>
        <v>3</v>
      </c>
      <c r="U99" t="str">
        <f t="shared" si="3"/>
        <v>2</v>
      </c>
    </row>
    <row r="100" spans="1:21" x14ac:dyDescent="0.3">
      <c r="A100" t="s">
        <v>138</v>
      </c>
      <c r="B100">
        <v>85746</v>
      </c>
      <c r="C100" t="s">
        <v>67</v>
      </c>
      <c r="D100" t="s">
        <v>68</v>
      </c>
      <c r="E100" t="s">
        <v>22</v>
      </c>
      <c r="F100" t="s">
        <v>69</v>
      </c>
      <c r="G100" t="s">
        <v>67</v>
      </c>
      <c r="I100" t="s">
        <v>70</v>
      </c>
      <c r="J100" t="s">
        <v>24</v>
      </c>
      <c r="K100">
        <v>1988</v>
      </c>
      <c r="L100" t="s">
        <v>37</v>
      </c>
      <c r="M100">
        <v>1195</v>
      </c>
      <c r="N100">
        <v>3</v>
      </c>
      <c r="O100">
        <v>2</v>
      </c>
      <c r="Q100">
        <v>32.146462999999997</v>
      </c>
      <c r="R100">
        <v>-111.001645</v>
      </c>
      <c r="T100" t="str">
        <f t="shared" si="2"/>
        <v>3</v>
      </c>
      <c r="U100" t="str">
        <f t="shared" si="3"/>
        <v>2</v>
      </c>
    </row>
    <row r="101" spans="1:21" x14ac:dyDescent="0.3">
      <c r="A101" t="s">
        <v>139</v>
      </c>
      <c r="B101">
        <v>85746</v>
      </c>
      <c r="C101" t="s">
        <v>67</v>
      </c>
      <c r="D101" t="s">
        <v>68</v>
      </c>
      <c r="E101" t="s">
        <v>22</v>
      </c>
      <c r="F101" t="s">
        <v>69</v>
      </c>
      <c r="G101" t="s">
        <v>67</v>
      </c>
      <c r="I101" t="s">
        <v>70</v>
      </c>
      <c r="J101" t="s">
        <v>24</v>
      </c>
      <c r="K101">
        <v>2000</v>
      </c>
      <c r="L101" t="s">
        <v>37</v>
      </c>
      <c r="M101">
        <v>1498</v>
      </c>
      <c r="N101">
        <v>3</v>
      </c>
      <c r="O101">
        <v>2</v>
      </c>
      <c r="Q101">
        <v>32.151179999999997</v>
      </c>
      <c r="R101">
        <v>-110.99588300000001</v>
      </c>
      <c r="T101" t="str">
        <f t="shared" si="2"/>
        <v>3</v>
      </c>
      <c r="U101" t="str">
        <f t="shared" si="3"/>
        <v>2</v>
      </c>
    </row>
    <row r="102" spans="1:21" x14ac:dyDescent="0.3">
      <c r="A102" t="s">
        <v>140</v>
      </c>
      <c r="B102">
        <v>85746</v>
      </c>
      <c r="C102" t="s">
        <v>67</v>
      </c>
      <c r="D102" t="s">
        <v>68</v>
      </c>
      <c r="E102" t="s">
        <v>22</v>
      </c>
      <c r="F102" t="s">
        <v>69</v>
      </c>
      <c r="G102" t="s">
        <v>67</v>
      </c>
      <c r="I102" t="s">
        <v>70</v>
      </c>
      <c r="J102" t="s">
        <v>24</v>
      </c>
      <c r="K102">
        <v>1993</v>
      </c>
      <c r="L102" t="s">
        <v>37</v>
      </c>
      <c r="M102">
        <v>1680</v>
      </c>
      <c r="N102">
        <v>4</v>
      </c>
      <c r="O102">
        <v>2</v>
      </c>
      <c r="Q102">
        <v>32.143515000000001</v>
      </c>
      <c r="R102">
        <v>-111.001611</v>
      </c>
      <c r="T102" t="str">
        <f t="shared" si="2"/>
        <v>4</v>
      </c>
      <c r="U102" t="str">
        <f t="shared" si="3"/>
        <v>2</v>
      </c>
    </row>
    <row r="103" spans="1:21" x14ac:dyDescent="0.3">
      <c r="A103" t="s">
        <v>141</v>
      </c>
      <c r="B103">
        <v>85706</v>
      </c>
      <c r="C103" t="s">
        <v>67</v>
      </c>
      <c r="D103" t="s">
        <v>68</v>
      </c>
      <c r="E103" t="s">
        <v>22</v>
      </c>
      <c r="F103" t="s">
        <v>69</v>
      </c>
      <c r="G103" t="s">
        <v>67</v>
      </c>
      <c r="I103" t="s">
        <v>70</v>
      </c>
      <c r="J103" t="s">
        <v>24</v>
      </c>
      <c r="K103">
        <v>2001</v>
      </c>
      <c r="L103" t="s">
        <v>37</v>
      </c>
      <c r="M103">
        <v>1177</v>
      </c>
      <c r="N103">
        <v>3</v>
      </c>
      <c r="O103">
        <v>2</v>
      </c>
      <c r="Q103">
        <v>32.142885999999997</v>
      </c>
      <c r="R103">
        <v>-110.91185</v>
      </c>
      <c r="T103" t="str">
        <f t="shared" si="2"/>
        <v>3</v>
      </c>
      <c r="U103" t="str">
        <f t="shared" si="3"/>
        <v>2</v>
      </c>
    </row>
    <row r="104" spans="1:21" x14ac:dyDescent="0.3">
      <c r="A104" t="s">
        <v>142</v>
      </c>
      <c r="B104">
        <v>85746</v>
      </c>
      <c r="C104" t="s">
        <v>67</v>
      </c>
      <c r="D104" t="s">
        <v>68</v>
      </c>
      <c r="E104" t="s">
        <v>22</v>
      </c>
      <c r="F104" t="s">
        <v>69</v>
      </c>
      <c r="G104" t="s">
        <v>67</v>
      </c>
      <c r="I104" t="s">
        <v>70</v>
      </c>
      <c r="J104" t="s">
        <v>24</v>
      </c>
      <c r="K104">
        <v>1987</v>
      </c>
      <c r="L104" t="s">
        <v>37</v>
      </c>
      <c r="M104">
        <v>1769</v>
      </c>
      <c r="N104">
        <v>4</v>
      </c>
      <c r="O104">
        <v>2</v>
      </c>
      <c r="Q104">
        <v>32.143132999999999</v>
      </c>
      <c r="R104">
        <v>-110.998514</v>
      </c>
      <c r="T104" t="str">
        <f t="shared" si="2"/>
        <v>4</v>
      </c>
      <c r="U104" t="str">
        <f t="shared" si="3"/>
        <v>2</v>
      </c>
    </row>
    <row r="105" spans="1:21" x14ac:dyDescent="0.3">
      <c r="A105" s="4" t="s">
        <v>143</v>
      </c>
      <c r="B105">
        <v>85706</v>
      </c>
      <c r="C105" t="s">
        <v>67</v>
      </c>
      <c r="D105" t="s">
        <v>68</v>
      </c>
      <c r="E105" t="s">
        <v>22</v>
      </c>
      <c r="F105" t="s">
        <v>69</v>
      </c>
      <c r="G105" t="s">
        <v>67</v>
      </c>
      <c r="K105">
        <v>2001</v>
      </c>
      <c r="L105" t="s">
        <v>37</v>
      </c>
      <c r="M105">
        <v>1511</v>
      </c>
      <c r="N105">
        <v>3</v>
      </c>
      <c r="O105">
        <v>2</v>
      </c>
      <c r="Q105">
        <v>32.143627000000002</v>
      </c>
      <c r="R105">
        <v>-110.912209</v>
      </c>
      <c r="T105" t="str">
        <f t="shared" si="2"/>
        <v>3</v>
      </c>
      <c r="U105" t="str">
        <f t="shared" si="3"/>
        <v>2</v>
      </c>
    </row>
    <row r="106" spans="1:21" x14ac:dyDescent="0.3">
      <c r="A106" t="s">
        <v>144</v>
      </c>
      <c r="B106">
        <v>85706</v>
      </c>
      <c r="C106" t="s">
        <v>67</v>
      </c>
      <c r="D106" t="s">
        <v>68</v>
      </c>
      <c r="E106" t="s">
        <v>22</v>
      </c>
      <c r="F106" t="s">
        <v>69</v>
      </c>
      <c r="G106" t="s">
        <v>67</v>
      </c>
      <c r="I106" t="s">
        <v>70</v>
      </c>
      <c r="J106" t="s">
        <v>24</v>
      </c>
      <c r="K106">
        <v>2004</v>
      </c>
      <c r="L106" t="s">
        <v>37</v>
      </c>
      <c r="M106">
        <v>1813</v>
      </c>
      <c r="N106">
        <v>3</v>
      </c>
      <c r="O106">
        <v>2</v>
      </c>
      <c r="Q106">
        <v>32.139626999999997</v>
      </c>
      <c r="R106">
        <v>-110.909897</v>
      </c>
      <c r="T106" t="str">
        <f t="shared" si="2"/>
        <v>3</v>
      </c>
      <c r="U106" t="str">
        <f t="shared" si="3"/>
        <v>2</v>
      </c>
    </row>
    <row r="107" spans="1:21" x14ac:dyDescent="0.3">
      <c r="A107" t="s">
        <v>145</v>
      </c>
      <c r="B107">
        <v>85706</v>
      </c>
      <c r="C107" t="s">
        <v>67</v>
      </c>
      <c r="D107" t="s">
        <v>68</v>
      </c>
      <c r="E107" t="s">
        <v>22</v>
      </c>
      <c r="F107" t="s">
        <v>69</v>
      </c>
      <c r="G107" t="s">
        <v>67</v>
      </c>
      <c r="I107" t="s">
        <v>70</v>
      </c>
      <c r="J107" t="s">
        <v>24</v>
      </c>
      <c r="K107">
        <v>2004</v>
      </c>
      <c r="L107" t="s">
        <v>37</v>
      </c>
      <c r="M107">
        <v>1395</v>
      </c>
      <c r="N107">
        <v>3</v>
      </c>
      <c r="O107">
        <v>2</v>
      </c>
      <c r="Q107">
        <v>32.140909999999998</v>
      </c>
      <c r="R107">
        <v>-110.912404</v>
      </c>
      <c r="T107" t="str">
        <f t="shared" si="2"/>
        <v>3</v>
      </c>
      <c r="U107" t="str">
        <f t="shared" si="3"/>
        <v>2</v>
      </c>
    </row>
    <row r="108" spans="1:21" x14ac:dyDescent="0.3">
      <c r="A108" t="s">
        <v>146</v>
      </c>
      <c r="B108">
        <v>85756</v>
      </c>
      <c r="C108" t="s">
        <v>67</v>
      </c>
      <c r="D108" t="s">
        <v>68</v>
      </c>
      <c r="E108" t="s">
        <v>22</v>
      </c>
      <c r="F108" t="s">
        <v>69</v>
      </c>
      <c r="G108" t="s">
        <v>67</v>
      </c>
      <c r="I108" t="s">
        <v>70</v>
      </c>
      <c r="J108" t="s">
        <v>24</v>
      </c>
      <c r="K108">
        <v>2006</v>
      </c>
      <c r="L108" t="s">
        <v>37</v>
      </c>
      <c r="M108">
        <v>1857</v>
      </c>
      <c r="N108">
        <v>4</v>
      </c>
      <c r="O108">
        <v>3</v>
      </c>
      <c r="Q108">
        <v>32.123688000000001</v>
      </c>
      <c r="R108">
        <v>-110.859441</v>
      </c>
      <c r="T108" t="str">
        <f t="shared" si="2"/>
        <v>4</v>
      </c>
      <c r="U108" t="str">
        <f t="shared" si="3"/>
        <v>3</v>
      </c>
    </row>
    <row r="109" spans="1:21" x14ac:dyDescent="0.3">
      <c r="A109" t="s">
        <v>147</v>
      </c>
      <c r="B109">
        <v>85746</v>
      </c>
      <c r="C109" t="s">
        <v>67</v>
      </c>
      <c r="D109" t="s">
        <v>68</v>
      </c>
      <c r="E109" t="s">
        <v>22</v>
      </c>
      <c r="F109" t="s">
        <v>69</v>
      </c>
      <c r="G109" t="s">
        <v>67</v>
      </c>
      <c r="I109" t="s">
        <v>70</v>
      </c>
      <c r="J109" t="s">
        <v>24</v>
      </c>
      <c r="K109">
        <v>1980</v>
      </c>
      <c r="L109" t="s">
        <v>37</v>
      </c>
      <c r="M109">
        <v>1166</v>
      </c>
      <c r="N109">
        <v>3</v>
      </c>
      <c r="O109">
        <v>2</v>
      </c>
      <c r="Q109">
        <v>32.138102000000003</v>
      </c>
      <c r="R109">
        <v>-111.03202899999999</v>
      </c>
      <c r="T109" t="str">
        <f t="shared" si="2"/>
        <v>3</v>
      </c>
      <c r="U109" t="str">
        <f t="shared" si="3"/>
        <v>2</v>
      </c>
    </row>
    <row r="110" spans="1:21" x14ac:dyDescent="0.3">
      <c r="A110" t="s">
        <v>148</v>
      </c>
      <c r="B110">
        <v>85746</v>
      </c>
      <c r="C110" t="s">
        <v>67</v>
      </c>
      <c r="D110" t="s">
        <v>68</v>
      </c>
      <c r="E110" t="s">
        <v>22</v>
      </c>
      <c r="F110" t="s">
        <v>69</v>
      </c>
      <c r="G110" t="s">
        <v>67</v>
      </c>
      <c r="I110" t="s">
        <v>70</v>
      </c>
      <c r="J110" t="s">
        <v>24</v>
      </c>
      <c r="K110">
        <v>1999</v>
      </c>
      <c r="L110" t="s">
        <v>37</v>
      </c>
      <c r="M110">
        <v>1533</v>
      </c>
      <c r="N110">
        <v>3</v>
      </c>
      <c r="O110">
        <v>2</v>
      </c>
      <c r="Q110">
        <v>32.141392000000003</v>
      </c>
      <c r="R110">
        <v>-111.001665</v>
      </c>
      <c r="T110" t="str">
        <f t="shared" si="2"/>
        <v>3</v>
      </c>
      <c r="U110" t="str">
        <f t="shared" si="3"/>
        <v>2</v>
      </c>
    </row>
    <row r="111" spans="1:21" x14ac:dyDescent="0.3">
      <c r="A111" t="s">
        <v>149</v>
      </c>
      <c r="B111">
        <v>85746</v>
      </c>
      <c r="C111" t="s">
        <v>67</v>
      </c>
      <c r="D111" t="s">
        <v>68</v>
      </c>
      <c r="E111" t="s">
        <v>22</v>
      </c>
      <c r="F111" t="s">
        <v>69</v>
      </c>
      <c r="G111" t="s">
        <v>67</v>
      </c>
      <c r="I111" t="s">
        <v>70</v>
      </c>
      <c r="J111" t="s">
        <v>24</v>
      </c>
      <c r="K111">
        <v>2004</v>
      </c>
      <c r="L111" t="s">
        <v>37</v>
      </c>
      <c r="M111">
        <v>2826</v>
      </c>
      <c r="N111">
        <v>4</v>
      </c>
      <c r="O111">
        <v>2</v>
      </c>
      <c r="Q111">
        <v>32.138525999999999</v>
      </c>
      <c r="R111">
        <v>-110.9098</v>
      </c>
      <c r="T111" t="str">
        <f t="shared" si="2"/>
        <v>4</v>
      </c>
      <c r="U111" t="str">
        <f t="shared" si="3"/>
        <v>2</v>
      </c>
    </row>
    <row r="112" spans="1:21" x14ac:dyDescent="0.3">
      <c r="A112" t="s">
        <v>150</v>
      </c>
      <c r="B112">
        <v>85710</v>
      </c>
      <c r="C112" t="s">
        <v>67</v>
      </c>
      <c r="D112" t="s">
        <v>68</v>
      </c>
      <c r="E112" t="s">
        <v>22</v>
      </c>
      <c r="F112" t="s">
        <v>69</v>
      </c>
      <c r="G112" t="s">
        <v>67</v>
      </c>
      <c r="I112" t="s">
        <v>70</v>
      </c>
      <c r="J112" t="s">
        <v>24</v>
      </c>
      <c r="K112">
        <v>1956</v>
      </c>
      <c r="L112" t="s">
        <v>37</v>
      </c>
      <c r="M112">
        <v>1550</v>
      </c>
      <c r="N112">
        <v>3</v>
      </c>
      <c r="O112">
        <v>1</v>
      </c>
      <c r="Q112">
        <v>32.200484000000003</v>
      </c>
      <c r="R112">
        <v>-110.857615</v>
      </c>
      <c r="T112" t="str">
        <f t="shared" si="2"/>
        <v>3</v>
      </c>
      <c r="U112" t="str">
        <f t="shared" si="3"/>
        <v>1</v>
      </c>
    </row>
    <row r="113" spans="1:21" x14ac:dyDescent="0.3">
      <c r="A113" t="s">
        <v>151</v>
      </c>
      <c r="B113">
        <v>85706</v>
      </c>
      <c r="C113" t="s">
        <v>67</v>
      </c>
      <c r="D113" t="s">
        <v>68</v>
      </c>
      <c r="E113" t="s">
        <v>22</v>
      </c>
      <c r="F113" t="s">
        <v>69</v>
      </c>
      <c r="G113" t="s">
        <v>67</v>
      </c>
      <c r="I113" t="s">
        <v>70</v>
      </c>
      <c r="J113" t="s">
        <v>24</v>
      </c>
      <c r="K113">
        <v>2006</v>
      </c>
      <c r="L113" t="s">
        <v>37</v>
      </c>
      <c r="M113">
        <v>1935</v>
      </c>
      <c r="N113">
        <v>4</v>
      </c>
      <c r="O113">
        <v>2</v>
      </c>
      <c r="Q113">
        <v>32.138033999999998</v>
      </c>
      <c r="R113">
        <v>-110.908855</v>
      </c>
      <c r="T113" t="str">
        <f t="shared" si="2"/>
        <v>4</v>
      </c>
      <c r="U113" t="str">
        <f t="shared" si="3"/>
        <v>2</v>
      </c>
    </row>
    <row r="114" spans="1:21" x14ac:dyDescent="0.3">
      <c r="A114" t="s">
        <v>152</v>
      </c>
      <c r="B114">
        <v>85706</v>
      </c>
      <c r="C114" t="s">
        <v>67</v>
      </c>
      <c r="D114" t="s">
        <v>68</v>
      </c>
      <c r="E114" t="s">
        <v>22</v>
      </c>
      <c r="F114" t="s">
        <v>69</v>
      </c>
      <c r="G114" t="s">
        <v>67</v>
      </c>
      <c r="I114" t="s">
        <v>70</v>
      </c>
      <c r="J114" t="s">
        <v>24</v>
      </c>
      <c r="K114">
        <v>2006</v>
      </c>
      <c r="L114" t="s">
        <v>37</v>
      </c>
      <c r="M114">
        <v>1261</v>
      </c>
      <c r="N114">
        <v>3</v>
      </c>
      <c r="O114">
        <v>2</v>
      </c>
      <c r="Q114">
        <v>32.137720000000002</v>
      </c>
      <c r="R114">
        <v>-110.910821</v>
      </c>
      <c r="T114" t="str">
        <f t="shared" si="2"/>
        <v>3</v>
      </c>
      <c r="U114" t="str">
        <f t="shared" si="3"/>
        <v>2</v>
      </c>
    </row>
    <row r="115" spans="1:21" x14ac:dyDescent="0.3">
      <c r="A115" t="s">
        <v>153</v>
      </c>
      <c r="B115">
        <v>85706</v>
      </c>
      <c r="C115" t="s">
        <v>67</v>
      </c>
      <c r="D115" t="s">
        <v>68</v>
      </c>
      <c r="E115" t="s">
        <v>22</v>
      </c>
      <c r="F115" t="s">
        <v>69</v>
      </c>
      <c r="G115" t="s">
        <v>67</v>
      </c>
      <c r="I115" t="s">
        <v>70</v>
      </c>
      <c r="J115" t="s">
        <v>24</v>
      </c>
      <c r="K115">
        <v>2005</v>
      </c>
      <c r="L115" t="s">
        <v>37</v>
      </c>
      <c r="M115">
        <v>1837</v>
      </c>
      <c r="N115">
        <v>3</v>
      </c>
      <c r="O115">
        <v>2</v>
      </c>
      <c r="Q115">
        <v>32.137286000000003</v>
      </c>
      <c r="R115">
        <v>-110.913132</v>
      </c>
      <c r="T115" t="str">
        <f t="shared" si="2"/>
        <v>3</v>
      </c>
      <c r="U115" t="str">
        <f t="shared" si="3"/>
        <v>2</v>
      </c>
    </row>
    <row r="116" spans="1:21" x14ac:dyDescent="0.3">
      <c r="A116" t="s">
        <v>154</v>
      </c>
      <c r="B116">
        <v>85710</v>
      </c>
      <c r="C116" t="s">
        <v>67</v>
      </c>
      <c r="D116" t="s">
        <v>68</v>
      </c>
      <c r="E116" t="s">
        <v>22</v>
      </c>
      <c r="F116" t="s">
        <v>69</v>
      </c>
      <c r="G116" t="s">
        <v>67</v>
      </c>
      <c r="I116" t="s">
        <v>70</v>
      </c>
      <c r="J116" t="s">
        <v>24</v>
      </c>
      <c r="K116">
        <v>1957</v>
      </c>
      <c r="L116" t="s">
        <v>37</v>
      </c>
      <c r="M116">
        <v>2376</v>
      </c>
      <c r="N116">
        <v>3</v>
      </c>
      <c r="O116">
        <v>1</v>
      </c>
      <c r="Q116">
        <v>32.199997000000003</v>
      </c>
      <c r="R116">
        <v>-110.856571</v>
      </c>
      <c r="T116" t="str">
        <f t="shared" si="2"/>
        <v>3</v>
      </c>
      <c r="U116" t="str">
        <f t="shared" si="3"/>
        <v>1</v>
      </c>
    </row>
    <row r="117" spans="1:21" x14ac:dyDescent="0.3">
      <c r="A117" t="s">
        <v>155</v>
      </c>
      <c r="B117">
        <v>85706</v>
      </c>
      <c r="C117" t="s">
        <v>67</v>
      </c>
      <c r="D117" t="s">
        <v>68</v>
      </c>
      <c r="E117" t="s">
        <v>22</v>
      </c>
      <c r="F117" t="s">
        <v>69</v>
      </c>
      <c r="G117" t="s">
        <v>67</v>
      </c>
      <c r="I117" t="s">
        <v>70</v>
      </c>
      <c r="J117" t="s">
        <v>24</v>
      </c>
      <c r="K117">
        <v>2006</v>
      </c>
      <c r="L117" t="s">
        <v>37</v>
      </c>
      <c r="M117">
        <v>1813</v>
      </c>
      <c r="N117">
        <v>3</v>
      </c>
      <c r="O117">
        <v>3</v>
      </c>
      <c r="Q117">
        <v>32.135849</v>
      </c>
      <c r="R117">
        <v>-110.913203</v>
      </c>
      <c r="T117" t="str">
        <f t="shared" si="2"/>
        <v>3</v>
      </c>
      <c r="U117" t="str">
        <f t="shared" si="3"/>
        <v>3</v>
      </c>
    </row>
    <row r="118" spans="1:21" x14ac:dyDescent="0.3">
      <c r="A118" t="s">
        <v>156</v>
      </c>
      <c r="B118">
        <v>85756</v>
      </c>
      <c r="C118" t="s">
        <v>67</v>
      </c>
      <c r="D118" t="s">
        <v>68</v>
      </c>
      <c r="E118" t="s">
        <v>22</v>
      </c>
      <c r="F118" t="s">
        <v>69</v>
      </c>
      <c r="G118" t="s">
        <v>67</v>
      </c>
      <c r="I118" t="s">
        <v>70</v>
      </c>
      <c r="J118" t="s">
        <v>24</v>
      </c>
      <c r="K118">
        <v>2007</v>
      </c>
      <c r="L118" t="s">
        <v>37</v>
      </c>
      <c r="M118">
        <v>2199</v>
      </c>
      <c r="N118">
        <v>5</v>
      </c>
      <c r="O118">
        <v>3</v>
      </c>
      <c r="Q118">
        <v>32.107917</v>
      </c>
      <c r="R118">
        <v>-110.855531</v>
      </c>
      <c r="T118" t="str">
        <f t="shared" si="2"/>
        <v>5</v>
      </c>
      <c r="U118" t="str">
        <f t="shared" si="3"/>
        <v>3</v>
      </c>
    </row>
    <row r="119" spans="1:21" x14ac:dyDescent="0.3">
      <c r="A119" t="s">
        <v>157</v>
      </c>
      <c r="B119">
        <v>85756</v>
      </c>
      <c r="C119" t="s">
        <v>67</v>
      </c>
      <c r="D119" t="s">
        <v>68</v>
      </c>
      <c r="E119" t="s">
        <v>22</v>
      </c>
      <c r="F119" t="s">
        <v>69</v>
      </c>
      <c r="G119" t="s">
        <v>67</v>
      </c>
      <c r="I119" t="s">
        <v>70</v>
      </c>
      <c r="J119" t="s">
        <v>24</v>
      </c>
      <c r="K119">
        <v>2005</v>
      </c>
      <c r="L119" t="s">
        <v>37</v>
      </c>
      <c r="M119">
        <v>1212</v>
      </c>
      <c r="N119">
        <v>3</v>
      </c>
      <c r="O119">
        <v>2</v>
      </c>
      <c r="Q119">
        <v>32.124626999999997</v>
      </c>
      <c r="R119">
        <v>-110.863299</v>
      </c>
      <c r="T119" t="str">
        <f t="shared" si="2"/>
        <v>3</v>
      </c>
      <c r="U119" t="str">
        <f t="shared" si="3"/>
        <v>2</v>
      </c>
    </row>
    <row r="120" spans="1:21" x14ac:dyDescent="0.3">
      <c r="A120" t="s">
        <v>158</v>
      </c>
      <c r="B120">
        <v>85756</v>
      </c>
      <c r="C120" t="s">
        <v>67</v>
      </c>
      <c r="D120" t="s">
        <v>68</v>
      </c>
      <c r="E120" t="s">
        <v>22</v>
      </c>
      <c r="F120" t="s">
        <v>69</v>
      </c>
      <c r="G120" t="s">
        <v>67</v>
      </c>
      <c r="I120" t="s">
        <v>70</v>
      </c>
      <c r="J120" t="s">
        <v>24</v>
      </c>
      <c r="K120">
        <v>1972</v>
      </c>
      <c r="L120" t="s">
        <v>37</v>
      </c>
      <c r="M120">
        <v>1291</v>
      </c>
      <c r="N120">
        <v>3</v>
      </c>
      <c r="O120">
        <v>2</v>
      </c>
      <c r="Q120">
        <v>32.131570000000004</v>
      </c>
      <c r="R120">
        <v>-110.974802</v>
      </c>
      <c r="T120" t="str">
        <f t="shared" si="2"/>
        <v>3</v>
      </c>
      <c r="U120" t="str">
        <f t="shared" si="3"/>
        <v>2</v>
      </c>
    </row>
    <row r="121" spans="1:21" x14ac:dyDescent="0.3">
      <c r="A121" t="s">
        <v>159</v>
      </c>
      <c r="B121">
        <v>85746</v>
      </c>
      <c r="C121" t="s">
        <v>67</v>
      </c>
      <c r="D121" t="s">
        <v>68</v>
      </c>
      <c r="E121" t="s">
        <v>22</v>
      </c>
      <c r="F121" t="s">
        <v>69</v>
      </c>
      <c r="G121" t="s">
        <v>67</v>
      </c>
      <c r="I121" t="s">
        <v>70</v>
      </c>
      <c r="J121" t="s">
        <v>24</v>
      </c>
      <c r="K121">
        <v>2001</v>
      </c>
      <c r="L121" t="s">
        <v>37</v>
      </c>
      <c r="M121">
        <v>1513</v>
      </c>
      <c r="N121">
        <v>4</v>
      </c>
      <c r="O121">
        <v>2</v>
      </c>
      <c r="Q121">
        <v>32.138053999999997</v>
      </c>
      <c r="R121">
        <v>-111.002431</v>
      </c>
      <c r="T121" t="str">
        <f t="shared" si="2"/>
        <v>4</v>
      </c>
      <c r="U121" t="str">
        <f t="shared" si="3"/>
        <v>2</v>
      </c>
    </row>
    <row r="122" spans="1:21" x14ac:dyDescent="0.3">
      <c r="A122" t="s">
        <v>160</v>
      </c>
      <c r="B122">
        <v>85756</v>
      </c>
      <c r="C122" t="s">
        <v>67</v>
      </c>
      <c r="D122" t="s">
        <v>68</v>
      </c>
      <c r="E122" t="s">
        <v>22</v>
      </c>
      <c r="F122" t="s">
        <v>69</v>
      </c>
      <c r="G122" t="s">
        <v>67</v>
      </c>
      <c r="I122" t="s">
        <v>70</v>
      </c>
      <c r="J122" t="s">
        <v>24</v>
      </c>
      <c r="K122">
        <v>1972</v>
      </c>
      <c r="L122" t="s">
        <v>37</v>
      </c>
      <c r="M122">
        <v>1291</v>
      </c>
      <c r="N122">
        <v>3</v>
      </c>
      <c r="O122">
        <v>2</v>
      </c>
      <c r="Q122">
        <v>32.131570000000004</v>
      </c>
      <c r="R122">
        <v>-110.974802</v>
      </c>
      <c r="T122" t="str">
        <f t="shared" si="2"/>
        <v>3</v>
      </c>
      <c r="U122" t="str">
        <f t="shared" si="3"/>
        <v>2</v>
      </c>
    </row>
    <row r="123" spans="1:21" x14ac:dyDescent="0.3">
      <c r="A123" t="s">
        <v>161</v>
      </c>
      <c r="B123">
        <v>85756</v>
      </c>
      <c r="C123" t="s">
        <v>67</v>
      </c>
      <c r="D123" t="s">
        <v>68</v>
      </c>
      <c r="E123" t="s">
        <v>22</v>
      </c>
      <c r="F123" t="s">
        <v>69</v>
      </c>
      <c r="G123" t="s">
        <v>67</v>
      </c>
      <c r="I123" t="s">
        <v>70</v>
      </c>
      <c r="J123" t="s">
        <v>24</v>
      </c>
      <c r="K123">
        <v>2007</v>
      </c>
      <c r="L123" t="s">
        <v>37</v>
      </c>
      <c r="M123">
        <v>1535</v>
      </c>
      <c r="N123">
        <v>4</v>
      </c>
      <c r="O123">
        <v>3</v>
      </c>
      <c r="Q123">
        <v>32.123170000000002</v>
      </c>
      <c r="R123">
        <v>-110.868968</v>
      </c>
      <c r="T123" t="str">
        <f t="shared" si="2"/>
        <v>4</v>
      </c>
      <c r="U123" t="str">
        <f t="shared" si="3"/>
        <v>3</v>
      </c>
    </row>
    <row r="124" spans="1:21" x14ac:dyDescent="0.3">
      <c r="A124" t="s">
        <v>162</v>
      </c>
      <c r="B124">
        <v>85756</v>
      </c>
      <c r="C124" t="s">
        <v>67</v>
      </c>
      <c r="D124" t="s">
        <v>68</v>
      </c>
      <c r="E124" t="s">
        <v>22</v>
      </c>
      <c r="F124" t="s">
        <v>69</v>
      </c>
      <c r="G124" t="s">
        <v>67</v>
      </c>
      <c r="I124" t="s">
        <v>70</v>
      </c>
      <c r="J124" t="s">
        <v>24</v>
      </c>
      <c r="K124">
        <v>2007</v>
      </c>
      <c r="L124" t="s">
        <v>37</v>
      </c>
      <c r="M124">
        <v>1284</v>
      </c>
      <c r="N124">
        <v>3</v>
      </c>
      <c r="O124">
        <v>2</v>
      </c>
      <c r="Q124">
        <v>32.109834999999997</v>
      </c>
      <c r="R124">
        <v>-110.853792</v>
      </c>
      <c r="T124" t="str">
        <f t="shared" si="2"/>
        <v>3</v>
      </c>
      <c r="U124" t="str">
        <f t="shared" si="3"/>
        <v>2</v>
      </c>
    </row>
    <row r="125" spans="1:21" x14ac:dyDescent="0.3">
      <c r="A125" t="s">
        <v>163</v>
      </c>
      <c r="B125">
        <v>85710</v>
      </c>
      <c r="C125" t="s">
        <v>67</v>
      </c>
      <c r="D125" t="s">
        <v>68</v>
      </c>
      <c r="E125" t="s">
        <v>22</v>
      </c>
      <c r="F125" t="s">
        <v>69</v>
      </c>
      <c r="G125" t="s">
        <v>67</v>
      </c>
      <c r="I125" t="s">
        <v>70</v>
      </c>
      <c r="J125" t="s">
        <v>24</v>
      </c>
      <c r="K125">
        <v>1962</v>
      </c>
      <c r="L125" t="s">
        <v>37</v>
      </c>
      <c r="M125">
        <v>1236</v>
      </c>
      <c r="N125">
        <v>3</v>
      </c>
      <c r="O125">
        <v>2</v>
      </c>
      <c r="Q125">
        <v>32.202641999999997</v>
      </c>
      <c r="R125">
        <v>-110.83871499999999</v>
      </c>
      <c r="T125" t="str">
        <f t="shared" si="2"/>
        <v>3</v>
      </c>
      <c r="U125" t="str">
        <f t="shared" si="3"/>
        <v>2</v>
      </c>
    </row>
    <row r="126" spans="1:21" x14ac:dyDescent="0.3">
      <c r="A126" t="s">
        <v>164</v>
      </c>
      <c r="B126">
        <v>85710</v>
      </c>
      <c r="C126" t="s">
        <v>67</v>
      </c>
      <c r="D126" t="s">
        <v>68</v>
      </c>
      <c r="E126" t="s">
        <v>22</v>
      </c>
      <c r="F126" t="s">
        <v>69</v>
      </c>
      <c r="G126" t="s">
        <v>67</v>
      </c>
      <c r="I126" t="s">
        <v>70</v>
      </c>
      <c r="J126" t="s">
        <v>24</v>
      </c>
      <c r="K126">
        <v>1963</v>
      </c>
      <c r="L126" t="s">
        <v>37</v>
      </c>
      <c r="M126">
        <v>1448</v>
      </c>
      <c r="N126">
        <v>3</v>
      </c>
      <c r="O126">
        <v>2</v>
      </c>
      <c r="Q126">
        <v>32.204751000000002</v>
      </c>
      <c r="R126">
        <v>-110.833989</v>
      </c>
      <c r="T126" t="str">
        <f t="shared" si="2"/>
        <v>3</v>
      </c>
      <c r="U126" t="str">
        <f t="shared" si="3"/>
        <v>2</v>
      </c>
    </row>
    <row r="127" spans="1:21" x14ac:dyDescent="0.3">
      <c r="A127" t="s">
        <v>165</v>
      </c>
      <c r="B127">
        <v>85730</v>
      </c>
      <c r="C127" t="s">
        <v>67</v>
      </c>
      <c r="D127" t="s">
        <v>68</v>
      </c>
      <c r="E127" t="s">
        <v>22</v>
      </c>
      <c r="F127" t="s">
        <v>69</v>
      </c>
      <c r="G127" t="s">
        <v>67</v>
      </c>
      <c r="I127" t="s">
        <v>70</v>
      </c>
      <c r="J127" t="s">
        <v>24</v>
      </c>
      <c r="K127">
        <v>2007</v>
      </c>
      <c r="L127" t="s">
        <v>37</v>
      </c>
      <c r="M127">
        <v>1331</v>
      </c>
      <c r="N127">
        <v>2</v>
      </c>
      <c r="O127">
        <v>2</v>
      </c>
      <c r="Q127">
        <v>32.191488999999997</v>
      </c>
      <c r="R127">
        <v>-110.82021</v>
      </c>
      <c r="T127" t="str">
        <f t="shared" si="2"/>
        <v>2</v>
      </c>
      <c r="U127" t="str">
        <f t="shared" si="3"/>
        <v>2</v>
      </c>
    </row>
    <row r="128" spans="1:21" x14ac:dyDescent="0.3">
      <c r="A128" t="s">
        <v>166</v>
      </c>
      <c r="B128">
        <v>85706</v>
      </c>
      <c r="C128" t="s">
        <v>67</v>
      </c>
      <c r="D128" t="s">
        <v>68</v>
      </c>
      <c r="E128" t="s">
        <v>22</v>
      </c>
      <c r="F128" t="s">
        <v>69</v>
      </c>
      <c r="G128" t="s">
        <v>67</v>
      </c>
      <c r="I128" t="s">
        <v>70</v>
      </c>
      <c r="J128" t="s">
        <v>24</v>
      </c>
      <c r="K128">
        <v>2006</v>
      </c>
      <c r="L128" t="s">
        <v>37</v>
      </c>
      <c r="M128">
        <v>1419</v>
      </c>
      <c r="N128">
        <v>3</v>
      </c>
      <c r="O128">
        <v>2</v>
      </c>
      <c r="Q128">
        <v>32.155127</v>
      </c>
      <c r="R128">
        <v>-110.957667</v>
      </c>
      <c r="T128" t="str">
        <f t="shared" si="2"/>
        <v>3</v>
      </c>
      <c r="U128" t="str">
        <f t="shared" si="3"/>
        <v>2</v>
      </c>
    </row>
    <row r="129" spans="1:21" x14ac:dyDescent="0.3">
      <c r="A129" t="s">
        <v>167</v>
      </c>
      <c r="B129">
        <v>85706</v>
      </c>
      <c r="C129" t="s">
        <v>67</v>
      </c>
      <c r="D129" t="s">
        <v>68</v>
      </c>
      <c r="E129" t="s">
        <v>22</v>
      </c>
      <c r="F129" t="s">
        <v>69</v>
      </c>
      <c r="G129" t="s">
        <v>67</v>
      </c>
      <c r="I129" t="s">
        <v>70</v>
      </c>
      <c r="J129" t="s">
        <v>24</v>
      </c>
      <c r="K129">
        <v>2006</v>
      </c>
      <c r="L129" t="s">
        <v>37</v>
      </c>
      <c r="M129">
        <v>2840</v>
      </c>
      <c r="N129">
        <v>5</v>
      </c>
      <c r="O129">
        <v>2</v>
      </c>
      <c r="Q129">
        <v>32.155213000000003</v>
      </c>
      <c r="R129">
        <v>-110.957526</v>
      </c>
      <c r="T129" t="str">
        <f t="shared" si="2"/>
        <v>5</v>
      </c>
      <c r="U129" t="str">
        <f t="shared" si="3"/>
        <v>2</v>
      </c>
    </row>
    <row r="130" spans="1:21" x14ac:dyDescent="0.3">
      <c r="A130" t="s">
        <v>168</v>
      </c>
      <c r="B130">
        <v>85756</v>
      </c>
      <c r="C130" t="s">
        <v>67</v>
      </c>
      <c r="D130" t="s">
        <v>68</v>
      </c>
      <c r="E130" t="s">
        <v>22</v>
      </c>
      <c r="F130" t="s">
        <v>69</v>
      </c>
      <c r="G130" t="s">
        <v>67</v>
      </c>
      <c r="I130" t="s">
        <v>70</v>
      </c>
      <c r="J130" t="s">
        <v>24</v>
      </c>
      <c r="K130">
        <v>1952</v>
      </c>
      <c r="L130" t="s">
        <v>37</v>
      </c>
      <c r="M130">
        <v>776</v>
      </c>
      <c r="N130">
        <v>2</v>
      </c>
      <c r="O130">
        <v>1</v>
      </c>
      <c r="Q130">
        <v>32.128537000000001</v>
      </c>
      <c r="R130">
        <v>-110.984037</v>
      </c>
      <c r="T130" t="str">
        <f t="shared" si="2"/>
        <v>2</v>
      </c>
      <c r="U130" t="str">
        <f t="shared" si="3"/>
        <v>1</v>
      </c>
    </row>
    <row r="131" spans="1:21" x14ac:dyDescent="0.3">
      <c r="A131" t="s">
        <v>169</v>
      </c>
      <c r="B131">
        <v>85730</v>
      </c>
      <c r="C131" t="s">
        <v>67</v>
      </c>
      <c r="D131" t="s">
        <v>68</v>
      </c>
      <c r="E131" t="s">
        <v>22</v>
      </c>
      <c r="F131" t="s">
        <v>69</v>
      </c>
      <c r="G131" t="s">
        <v>67</v>
      </c>
      <c r="I131" t="s">
        <v>70</v>
      </c>
      <c r="J131" t="s">
        <v>24</v>
      </c>
      <c r="K131">
        <v>1971</v>
      </c>
      <c r="L131" t="s">
        <v>37</v>
      </c>
      <c r="M131">
        <v>1630</v>
      </c>
      <c r="N131">
        <v>3</v>
      </c>
      <c r="O131">
        <v>2</v>
      </c>
      <c r="Q131">
        <v>32.188791999999999</v>
      </c>
      <c r="R131">
        <v>-110.79711399999999</v>
      </c>
      <c r="T131" t="str">
        <f t="shared" si="2"/>
        <v>3</v>
      </c>
      <c r="U131" t="str">
        <f t="shared" si="3"/>
        <v>2</v>
      </c>
    </row>
    <row r="132" spans="1:21" x14ac:dyDescent="0.3">
      <c r="A132" t="s">
        <v>170</v>
      </c>
      <c r="B132">
        <v>85745</v>
      </c>
      <c r="C132" t="s">
        <v>67</v>
      </c>
      <c r="D132" t="s">
        <v>68</v>
      </c>
      <c r="E132" t="s">
        <v>22</v>
      </c>
      <c r="F132" t="s">
        <v>69</v>
      </c>
      <c r="G132" t="s">
        <v>67</v>
      </c>
      <c r="I132" t="s">
        <v>70</v>
      </c>
      <c r="J132" t="s">
        <v>24</v>
      </c>
      <c r="K132">
        <v>1954</v>
      </c>
      <c r="L132" t="s">
        <v>37</v>
      </c>
      <c r="M132">
        <v>1292</v>
      </c>
      <c r="N132">
        <v>3</v>
      </c>
      <c r="O132">
        <v>2</v>
      </c>
      <c r="Q132">
        <v>32.223323999999998</v>
      </c>
      <c r="R132">
        <v>-110.987938</v>
      </c>
      <c r="T132" t="str">
        <f t="shared" si="2"/>
        <v>3</v>
      </c>
      <c r="U132" t="str">
        <f t="shared" si="3"/>
        <v>2</v>
      </c>
    </row>
    <row r="133" spans="1:21" x14ac:dyDescent="0.3">
      <c r="A133" t="s">
        <v>171</v>
      </c>
      <c r="B133">
        <v>85730</v>
      </c>
      <c r="C133" t="s">
        <v>67</v>
      </c>
      <c r="D133" t="s">
        <v>68</v>
      </c>
      <c r="E133" t="s">
        <v>22</v>
      </c>
      <c r="F133" t="s">
        <v>69</v>
      </c>
      <c r="G133" t="s">
        <v>67</v>
      </c>
      <c r="I133" t="s">
        <v>70</v>
      </c>
      <c r="J133" t="s">
        <v>24</v>
      </c>
      <c r="K133">
        <v>1974</v>
      </c>
      <c r="L133" t="s">
        <v>37</v>
      </c>
      <c r="M133">
        <v>1633</v>
      </c>
      <c r="N133">
        <v>3</v>
      </c>
      <c r="O133">
        <v>2</v>
      </c>
      <c r="Q133">
        <v>32.185349000000002</v>
      </c>
      <c r="R133">
        <v>-110.79140700000001</v>
      </c>
      <c r="T133" t="str">
        <f t="shared" si="2"/>
        <v>3</v>
      </c>
      <c r="U133" t="str">
        <f t="shared" si="3"/>
        <v>2</v>
      </c>
    </row>
    <row r="134" spans="1:21" x14ac:dyDescent="0.3">
      <c r="A134" s="4" t="s">
        <v>172</v>
      </c>
      <c r="B134" s="4">
        <v>85716</v>
      </c>
      <c r="C134" t="s">
        <v>67</v>
      </c>
      <c r="D134" t="s">
        <v>68</v>
      </c>
      <c r="E134" t="s">
        <v>22</v>
      </c>
      <c r="F134" t="s">
        <v>69</v>
      </c>
      <c r="G134" t="s">
        <v>67</v>
      </c>
      <c r="K134">
        <v>1956</v>
      </c>
      <c r="L134" t="s">
        <v>37</v>
      </c>
      <c r="M134">
        <v>1552</v>
      </c>
      <c r="N134">
        <v>3</v>
      </c>
      <c r="O134">
        <v>1</v>
      </c>
      <c r="Q134">
        <v>32.268107999999998</v>
      </c>
      <c r="R134">
        <v>-110.923467</v>
      </c>
      <c r="T134" t="str">
        <f t="shared" si="2"/>
        <v>3</v>
      </c>
      <c r="U134" t="str">
        <f t="shared" si="3"/>
        <v>1</v>
      </c>
    </row>
    <row r="135" spans="1:21" x14ac:dyDescent="0.3">
      <c r="A135" s="4" t="s">
        <v>173</v>
      </c>
      <c r="B135" s="4">
        <v>85746</v>
      </c>
      <c r="C135" t="s">
        <v>67</v>
      </c>
      <c r="D135" t="s">
        <v>68</v>
      </c>
      <c r="E135" t="s">
        <v>22</v>
      </c>
      <c r="F135" t="s">
        <v>69</v>
      </c>
      <c r="G135" t="s">
        <v>67</v>
      </c>
      <c r="K135">
        <v>1986</v>
      </c>
      <c r="L135" t="s">
        <v>37</v>
      </c>
      <c r="M135">
        <v>1170</v>
      </c>
      <c r="N135">
        <v>2</v>
      </c>
      <c r="O135">
        <v>2</v>
      </c>
      <c r="Q135">
        <v>32.157845999999999</v>
      </c>
      <c r="R135">
        <v>-111.002478</v>
      </c>
      <c r="T135" t="str">
        <f t="shared" si="2"/>
        <v>2</v>
      </c>
      <c r="U135" t="str">
        <f t="shared" si="3"/>
        <v>2</v>
      </c>
    </row>
    <row r="136" spans="1:21" x14ac:dyDescent="0.3">
      <c r="A136" s="4" t="s">
        <v>174</v>
      </c>
      <c r="B136" s="4">
        <v>85706</v>
      </c>
      <c r="C136" t="s">
        <v>67</v>
      </c>
      <c r="D136" t="s">
        <v>68</v>
      </c>
      <c r="E136" t="s">
        <v>22</v>
      </c>
      <c r="F136" t="s">
        <v>69</v>
      </c>
      <c r="G136" t="s">
        <v>67</v>
      </c>
      <c r="K136">
        <v>2004</v>
      </c>
      <c r="L136" t="s">
        <v>37</v>
      </c>
      <c r="M136">
        <v>1538</v>
      </c>
      <c r="N136">
        <v>4</v>
      </c>
      <c r="O136">
        <v>2</v>
      </c>
      <c r="Q136">
        <v>32.157407999999997</v>
      </c>
      <c r="R136">
        <v>-110.92985</v>
      </c>
      <c r="T136" t="str">
        <f t="shared" si="2"/>
        <v>4</v>
      </c>
      <c r="U136" t="str">
        <f t="shared" si="3"/>
        <v>2</v>
      </c>
    </row>
    <row r="137" spans="1:21" x14ac:dyDescent="0.3">
      <c r="A137" s="4" t="s">
        <v>175</v>
      </c>
      <c r="B137" s="4">
        <v>85746</v>
      </c>
      <c r="C137" t="s">
        <v>67</v>
      </c>
      <c r="D137" t="s">
        <v>68</v>
      </c>
      <c r="E137" t="s">
        <v>22</v>
      </c>
      <c r="F137" t="s">
        <v>69</v>
      </c>
      <c r="G137" t="s">
        <v>67</v>
      </c>
      <c r="K137">
        <v>1995</v>
      </c>
      <c r="L137" t="s">
        <v>37</v>
      </c>
      <c r="M137">
        <v>1515</v>
      </c>
      <c r="N137">
        <v>3</v>
      </c>
      <c r="O137">
        <v>2</v>
      </c>
      <c r="Q137">
        <v>32.144089999999998</v>
      </c>
      <c r="R137">
        <v>-111.00028399999999</v>
      </c>
      <c r="T137" t="str">
        <f t="shared" si="2"/>
        <v>3</v>
      </c>
      <c r="U137" t="str">
        <f t="shared" si="3"/>
        <v>2</v>
      </c>
    </row>
    <row r="138" spans="1:21" x14ac:dyDescent="0.3">
      <c r="A138" s="4" t="s">
        <v>176</v>
      </c>
      <c r="B138" s="4">
        <v>85706</v>
      </c>
      <c r="C138" t="s">
        <v>67</v>
      </c>
      <c r="D138" t="s">
        <v>68</v>
      </c>
      <c r="E138" t="s">
        <v>22</v>
      </c>
      <c r="F138" t="s">
        <v>69</v>
      </c>
      <c r="G138" t="s">
        <v>67</v>
      </c>
      <c r="K138">
        <v>2006</v>
      </c>
      <c r="L138" t="s">
        <v>37</v>
      </c>
      <c r="M138">
        <v>1424</v>
      </c>
      <c r="N138">
        <v>3</v>
      </c>
      <c r="O138">
        <v>2</v>
      </c>
      <c r="Q138">
        <v>32.155205000000002</v>
      </c>
      <c r="R138">
        <v>-110.957815</v>
      </c>
      <c r="T138" t="str">
        <f t="shared" si="2"/>
        <v>3</v>
      </c>
      <c r="U138" t="str">
        <f t="shared" si="3"/>
        <v>2</v>
      </c>
    </row>
    <row r="139" spans="1:21" x14ac:dyDescent="0.3">
      <c r="A139" s="4" t="s">
        <v>177</v>
      </c>
      <c r="B139" s="4">
        <v>85706</v>
      </c>
      <c r="C139" t="s">
        <v>67</v>
      </c>
      <c r="D139" t="s">
        <v>68</v>
      </c>
      <c r="E139" t="s">
        <v>22</v>
      </c>
      <c r="F139" t="s">
        <v>69</v>
      </c>
      <c r="G139" t="s">
        <v>67</v>
      </c>
      <c r="K139">
        <v>2004</v>
      </c>
      <c r="L139" t="s">
        <v>37</v>
      </c>
      <c r="M139">
        <v>1395</v>
      </c>
      <c r="N139">
        <v>3</v>
      </c>
      <c r="O139">
        <v>2</v>
      </c>
      <c r="Q139">
        <v>32.140808</v>
      </c>
      <c r="R139">
        <v>-110.912553</v>
      </c>
      <c r="T139" t="str">
        <f t="shared" si="2"/>
        <v>3</v>
      </c>
      <c r="U139" t="str">
        <f t="shared" si="3"/>
        <v>2</v>
      </c>
    </row>
    <row r="140" spans="1:21" x14ac:dyDescent="0.3">
      <c r="A140" s="4" t="s">
        <v>178</v>
      </c>
      <c r="B140" s="4">
        <v>85745</v>
      </c>
      <c r="C140" t="s">
        <v>67</v>
      </c>
      <c r="D140" t="s">
        <v>68</v>
      </c>
      <c r="E140" t="s">
        <v>22</v>
      </c>
      <c r="F140" t="s">
        <v>69</v>
      </c>
      <c r="G140" t="s">
        <v>67</v>
      </c>
      <c r="K140">
        <v>1954</v>
      </c>
      <c r="L140" t="s">
        <v>37</v>
      </c>
      <c r="M140">
        <v>1292</v>
      </c>
      <c r="N140">
        <v>3</v>
      </c>
      <c r="O140">
        <v>2</v>
      </c>
      <c r="Q140">
        <v>32.223323999999998</v>
      </c>
      <c r="R140">
        <v>-110.987938</v>
      </c>
      <c r="T140" t="str">
        <f t="shared" si="2"/>
        <v>3</v>
      </c>
      <c r="U140" t="str">
        <f t="shared" si="3"/>
        <v>2</v>
      </c>
    </row>
    <row r="141" spans="1:21" x14ac:dyDescent="0.3">
      <c r="A141" s="4" t="s">
        <v>179</v>
      </c>
      <c r="B141" s="4">
        <v>85746</v>
      </c>
      <c r="C141" t="s">
        <v>67</v>
      </c>
      <c r="D141" t="s">
        <v>68</v>
      </c>
      <c r="E141" t="s">
        <v>22</v>
      </c>
      <c r="F141" t="s">
        <v>69</v>
      </c>
      <c r="G141" t="s">
        <v>67</v>
      </c>
      <c r="K141">
        <v>1986</v>
      </c>
      <c r="L141" t="s">
        <v>37</v>
      </c>
      <c r="M141">
        <v>1170</v>
      </c>
      <c r="N141">
        <v>2</v>
      </c>
      <c r="O141">
        <v>2</v>
      </c>
      <c r="Q141">
        <v>32.157845999999999</v>
      </c>
      <c r="R141">
        <v>-111.002478</v>
      </c>
      <c r="T141" t="str">
        <f t="shared" si="2"/>
        <v>2</v>
      </c>
      <c r="U141" t="str">
        <f t="shared" si="3"/>
        <v>2</v>
      </c>
    </row>
    <row r="142" spans="1:21" x14ac:dyDescent="0.3">
      <c r="A142" t="s">
        <v>180</v>
      </c>
      <c r="B142">
        <v>85225</v>
      </c>
      <c r="C142" t="s">
        <v>181</v>
      </c>
      <c r="D142" t="s">
        <v>182</v>
      </c>
      <c r="E142" t="s">
        <v>22</v>
      </c>
      <c r="F142" t="s">
        <v>183</v>
      </c>
      <c r="J142" t="s">
        <v>24</v>
      </c>
      <c r="K142">
        <v>1979</v>
      </c>
      <c r="L142" t="s">
        <v>37</v>
      </c>
      <c r="M142">
        <v>1105</v>
      </c>
      <c r="N142">
        <v>3</v>
      </c>
      <c r="O142">
        <v>2</v>
      </c>
      <c r="P142" t="s">
        <v>184</v>
      </c>
      <c r="Q142">
        <v>33.304153426226001</v>
      </c>
      <c r="R142">
        <v>-111.801544191223</v>
      </c>
    </row>
    <row r="143" spans="1:21" x14ac:dyDescent="0.3">
      <c r="A143" t="s">
        <v>185</v>
      </c>
      <c r="B143">
        <v>85208</v>
      </c>
      <c r="C143" t="s">
        <v>186</v>
      </c>
      <c r="D143" t="s">
        <v>182</v>
      </c>
      <c r="E143" t="s">
        <v>22</v>
      </c>
      <c r="F143" t="s">
        <v>183</v>
      </c>
      <c r="J143" t="s">
        <v>24</v>
      </c>
      <c r="K143">
        <v>2000</v>
      </c>
      <c r="L143" t="s">
        <v>37</v>
      </c>
      <c r="M143">
        <v>1831</v>
      </c>
      <c r="N143">
        <v>3</v>
      </c>
      <c r="O143">
        <v>2.5</v>
      </c>
      <c r="P143" t="s">
        <v>187</v>
      </c>
      <c r="Q143">
        <v>33.405685347228001</v>
      </c>
      <c r="R143">
        <v>-111.609542952669</v>
      </c>
    </row>
    <row r="144" spans="1:21" x14ac:dyDescent="0.3">
      <c r="A144" t="s">
        <v>188</v>
      </c>
      <c r="B144">
        <v>85281</v>
      </c>
      <c r="C144" t="s">
        <v>189</v>
      </c>
      <c r="D144" t="s">
        <v>182</v>
      </c>
      <c r="E144" t="s">
        <v>22</v>
      </c>
      <c r="F144" t="s">
        <v>183</v>
      </c>
      <c r="J144" t="s">
        <v>24</v>
      </c>
      <c r="K144">
        <v>1970</v>
      </c>
      <c r="L144" t="s">
        <v>37</v>
      </c>
      <c r="M144">
        <v>833</v>
      </c>
      <c r="N144">
        <v>2</v>
      </c>
      <c r="O144">
        <v>1</v>
      </c>
      <c r="P144" t="s">
        <v>190</v>
      </c>
      <c r="Q144">
        <v>33.418331082639</v>
      </c>
      <c r="R144">
        <v>-111.947227451926</v>
      </c>
    </row>
    <row r="145" spans="1:18" x14ac:dyDescent="0.3">
      <c r="A145" t="s">
        <v>191</v>
      </c>
      <c r="B145">
        <v>85282</v>
      </c>
      <c r="C145" t="s">
        <v>189</v>
      </c>
      <c r="D145" t="s">
        <v>182</v>
      </c>
      <c r="E145" t="s">
        <v>22</v>
      </c>
      <c r="F145" t="s">
        <v>183</v>
      </c>
      <c r="J145" t="s">
        <v>24</v>
      </c>
      <c r="K145">
        <v>1978</v>
      </c>
      <c r="L145" t="s">
        <v>37</v>
      </c>
      <c r="M145">
        <v>1096</v>
      </c>
      <c r="N145">
        <v>3</v>
      </c>
      <c r="O145">
        <v>2</v>
      </c>
      <c r="P145" t="s">
        <v>187</v>
      </c>
      <c r="Q145">
        <v>33.387794468267003</v>
      </c>
      <c r="R145">
        <v>-111.953521674477</v>
      </c>
    </row>
    <row r="146" spans="1:18" x14ac:dyDescent="0.3">
      <c r="A146" t="s">
        <v>192</v>
      </c>
      <c r="B146">
        <v>85281</v>
      </c>
      <c r="C146" t="s">
        <v>189</v>
      </c>
      <c r="D146" t="s">
        <v>182</v>
      </c>
      <c r="E146" t="s">
        <v>22</v>
      </c>
      <c r="F146" t="s">
        <v>183</v>
      </c>
      <c r="J146" t="s">
        <v>24</v>
      </c>
      <c r="K146">
        <v>1970</v>
      </c>
      <c r="L146" t="s">
        <v>37</v>
      </c>
      <c r="M146">
        <v>880</v>
      </c>
      <c r="N146">
        <v>2</v>
      </c>
      <c r="O146">
        <v>1</v>
      </c>
      <c r="P146" t="s">
        <v>190</v>
      </c>
      <c r="Q146">
        <v>33.418327394602002</v>
      </c>
      <c r="R146">
        <v>-111.947227451926</v>
      </c>
    </row>
    <row r="147" spans="1:18" x14ac:dyDescent="0.3">
      <c r="A147" t="s">
        <v>193</v>
      </c>
      <c r="B147">
        <v>85283</v>
      </c>
      <c r="C147" t="s">
        <v>189</v>
      </c>
      <c r="D147" t="s">
        <v>182</v>
      </c>
      <c r="E147" t="s">
        <v>22</v>
      </c>
      <c r="F147" t="s">
        <v>183</v>
      </c>
      <c r="J147" t="s">
        <v>24</v>
      </c>
      <c r="K147">
        <v>1981</v>
      </c>
      <c r="L147" t="s">
        <v>37</v>
      </c>
      <c r="M147">
        <v>1069</v>
      </c>
      <c r="N147">
        <v>3</v>
      </c>
      <c r="O147">
        <v>2</v>
      </c>
      <c r="P147" t="s">
        <v>194</v>
      </c>
      <c r="Q147">
        <v>33.369453397286001</v>
      </c>
      <c r="R147">
        <v>-111.95604705808501</v>
      </c>
    </row>
    <row r="148" spans="1:18" x14ac:dyDescent="0.3">
      <c r="A148" t="s">
        <v>195</v>
      </c>
      <c r="B148">
        <v>85283</v>
      </c>
      <c r="C148" t="s">
        <v>189</v>
      </c>
      <c r="D148" t="s">
        <v>182</v>
      </c>
      <c r="E148" t="s">
        <v>22</v>
      </c>
      <c r="F148" t="s">
        <v>183</v>
      </c>
      <c r="J148" t="s">
        <v>24</v>
      </c>
      <c r="K148">
        <v>1995</v>
      </c>
      <c r="L148" t="s">
        <v>37</v>
      </c>
      <c r="M148">
        <v>1525</v>
      </c>
      <c r="N148">
        <v>4</v>
      </c>
      <c r="O148">
        <v>2</v>
      </c>
      <c r="P148" t="s">
        <v>187</v>
      </c>
      <c r="Q148">
        <v>33.352584859055</v>
      </c>
      <c r="R148">
        <v>-111.95610799452101</v>
      </c>
    </row>
    <row r="149" spans="1:18" x14ac:dyDescent="0.3">
      <c r="A149" t="s">
        <v>196</v>
      </c>
      <c r="B149">
        <v>85208</v>
      </c>
      <c r="C149" t="s">
        <v>186</v>
      </c>
      <c r="D149" t="s">
        <v>182</v>
      </c>
      <c r="E149" t="s">
        <v>22</v>
      </c>
      <c r="F149" t="s">
        <v>183</v>
      </c>
      <c r="J149" t="s">
        <v>24</v>
      </c>
      <c r="K149">
        <v>1999</v>
      </c>
      <c r="L149" t="s">
        <v>37</v>
      </c>
      <c r="M149">
        <v>1302</v>
      </c>
      <c r="N149">
        <v>3</v>
      </c>
      <c r="O149">
        <v>2</v>
      </c>
      <c r="Q149">
        <v>33.40586090619</v>
      </c>
      <c r="R149">
        <v>-111.594085717385</v>
      </c>
    </row>
    <row r="150" spans="1:18" x14ac:dyDescent="0.3">
      <c r="A150" t="s">
        <v>197</v>
      </c>
      <c r="B150">
        <v>85225</v>
      </c>
      <c r="C150" t="s">
        <v>181</v>
      </c>
      <c r="D150" t="s">
        <v>182</v>
      </c>
      <c r="E150" t="s">
        <v>22</v>
      </c>
      <c r="F150" t="s">
        <v>183</v>
      </c>
      <c r="J150" t="s">
        <v>24</v>
      </c>
      <c r="K150">
        <v>1971</v>
      </c>
      <c r="L150" t="s">
        <v>37</v>
      </c>
      <c r="M150">
        <v>1362</v>
      </c>
      <c r="N150">
        <v>3</v>
      </c>
      <c r="O150">
        <v>2</v>
      </c>
      <c r="P150" t="s">
        <v>198</v>
      </c>
      <c r="Q150">
        <v>33.322452503872</v>
      </c>
      <c r="R150">
        <v>-111.846443112868</v>
      </c>
    </row>
    <row r="151" spans="1:18" x14ac:dyDescent="0.3">
      <c r="A151" t="s">
        <v>199</v>
      </c>
      <c r="B151">
        <v>85225</v>
      </c>
      <c r="C151" t="s">
        <v>181</v>
      </c>
      <c r="D151" t="s">
        <v>182</v>
      </c>
      <c r="E151" t="s">
        <v>22</v>
      </c>
      <c r="F151" t="s">
        <v>183</v>
      </c>
      <c r="J151" t="s">
        <v>24</v>
      </c>
      <c r="K151">
        <v>1960</v>
      </c>
      <c r="L151" t="s">
        <v>37</v>
      </c>
      <c r="M151">
        <v>1003</v>
      </c>
      <c r="N151">
        <v>3</v>
      </c>
      <c r="O151">
        <v>2</v>
      </c>
      <c r="P151" t="s">
        <v>190</v>
      </c>
      <c r="Q151">
        <v>33.294391694150001</v>
      </c>
      <c r="R151">
        <v>-111.844139179142</v>
      </c>
    </row>
    <row r="152" spans="1:18" x14ac:dyDescent="0.3">
      <c r="A152" t="s">
        <v>200</v>
      </c>
      <c r="B152">
        <v>85296</v>
      </c>
      <c r="C152" t="s">
        <v>201</v>
      </c>
      <c r="D152" t="s">
        <v>182</v>
      </c>
      <c r="E152" t="s">
        <v>22</v>
      </c>
      <c r="F152" t="s">
        <v>183</v>
      </c>
      <c r="J152" t="s">
        <v>24</v>
      </c>
      <c r="K152">
        <v>1999</v>
      </c>
      <c r="L152" t="s">
        <v>37</v>
      </c>
      <c r="M152">
        <v>1427</v>
      </c>
      <c r="N152">
        <v>3</v>
      </c>
      <c r="O152">
        <v>2</v>
      </c>
      <c r="P152" t="s">
        <v>187</v>
      </c>
      <c r="Q152">
        <v>33.330417658822</v>
      </c>
      <c r="R152">
        <v>-111.731269812086</v>
      </c>
    </row>
    <row r="153" spans="1:18" x14ac:dyDescent="0.3">
      <c r="A153" t="s">
        <v>202</v>
      </c>
      <c r="B153">
        <v>85208</v>
      </c>
      <c r="C153" t="s">
        <v>186</v>
      </c>
      <c r="D153" t="s">
        <v>182</v>
      </c>
      <c r="E153" t="s">
        <v>22</v>
      </c>
      <c r="F153" t="s">
        <v>183</v>
      </c>
      <c r="J153" t="s">
        <v>24</v>
      </c>
      <c r="K153">
        <v>1996</v>
      </c>
      <c r="L153" t="s">
        <v>37</v>
      </c>
      <c r="M153">
        <v>1306</v>
      </c>
      <c r="N153">
        <v>3</v>
      </c>
      <c r="O153">
        <v>2</v>
      </c>
      <c r="P153" t="s">
        <v>187</v>
      </c>
      <c r="Q153">
        <v>33.404209210259999</v>
      </c>
      <c r="R153">
        <v>-111.592086884935</v>
      </c>
    </row>
    <row r="154" spans="1:18" x14ac:dyDescent="0.3">
      <c r="A154" t="s">
        <v>203</v>
      </c>
      <c r="B154">
        <v>85281</v>
      </c>
      <c r="C154" t="s">
        <v>189</v>
      </c>
      <c r="D154" t="s">
        <v>182</v>
      </c>
      <c r="E154" t="s">
        <v>22</v>
      </c>
      <c r="F154" t="s">
        <v>183</v>
      </c>
      <c r="I154" t="s">
        <v>24</v>
      </c>
      <c r="K154">
        <v>2006</v>
      </c>
      <c r="L154" t="s">
        <v>37</v>
      </c>
      <c r="M154">
        <v>1486</v>
      </c>
      <c r="N154">
        <v>3</v>
      </c>
      <c r="O154">
        <v>2</v>
      </c>
      <c r="P154" t="s">
        <v>190</v>
      </c>
      <c r="Q154">
        <v>33.417499597843999</v>
      </c>
      <c r="R154">
        <v>-111.950012171618</v>
      </c>
    </row>
    <row r="155" spans="1:18" x14ac:dyDescent="0.3">
      <c r="A155" t="s">
        <v>204</v>
      </c>
      <c r="B155">
        <v>85281</v>
      </c>
      <c r="C155" t="s">
        <v>189</v>
      </c>
      <c r="D155" t="s">
        <v>182</v>
      </c>
      <c r="E155" t="s">
        <v>22</v>
      </c>
      <c r="F155" t="s">
        <v>183</v>
      </c>
      <c r="I155" t="s">
        <v>24</v>
      </c>
      <c r="K155">
        <v>2006</v>
      </c>
      <c r="L155" t="s">
        <v>37</v>
      </c>
      <c r="M155">
        <v>1486</v>
      </c>
      <c r="N155">
        <v>3</v>
      </c>
      <c r="O155">
        <v>2</v>
      </c>
      <c r="P155" t="s">
        <v>190</v>
      </c>
      <c r="Q155">
        <v>33.417507225375999</v>
      </c>
      <c r="R155">
        <v>-111.950012171618</v>
      </c>
    </row>
    <row r="156" spans="1:18" x14ac:dyDescent="0.3">
      <c r="A156" t="s">
        <v>205</v>
      </c>
      <c r="B156">
        <v>85281</v>
      </c>
      <c r="C156" t="s">
        <v>189</v>
      </c>
      <c r="D156" t="s">
        <v>182</v>
      </c>
      <c r="E156" t="s">
        <v>22</v>
      </c>
      <c r="F156" t="s">
        <v>183</v>
      </c>
      <c r="I156" t="s">
        <v>24</v>
      </c>
      <c r="K156">
        <v>2006</v>
      </c>
      <c r="L156" t="s">
        <v>37</v>
      </c>
      <c r="M156">
        <v>1486</v>
      </c>
      <c r="N156">
        <v>3</v>
      </c>
      <c r="O156">
        <v>2</v>
      </c>
      <c r="P156" t="s">
        <v>190</v>
      </c>
      <c r="Q156">
        <v>33.417514769089003</v>
      </c>
      <c r="R156">
        <v>-111.950012171618</v>
      </c>
    </row>
    <row r="157" spans="1:18" x14ac:dyDescent="0.3">
      <c r="A157" t="s">
        <v>206</v>
      </c>
      <c r="B157">
        <v>85281</v>
      </c>
      <c r="C157" t="s">
        <v>189</v>
      </c>
      <c r="D157" t="s">
        <v>182</v>
      </c>
      <c r="E157" t="s">
        <v>22</v>
      </c>
      <c r="F157" t="s">
        <v>183</v>
      </c>
      <c r="J157" t="s">
        <v>24</v>
      </c>
      <c r="K157">
        <v>1961</v>
      </c>
      <c r="L157" t="s">
        <v>37</v>
      </c>
      <c r="M157">
        <v>1111</v>
      </c>
      <c r="N157">
        <v>3</v>
      </c>
      <c r="O157">
        <v>1</v>
      </c>
      <c r="P157" t="s">
        <v>190</v>
      </c>
      <c r="Q157">
        <v>33.419052135859999</v>
      </c>
      <c r="R157">
        <v>-111.954879794249</v>
      </c>
    </row>
    <row r="158" spans="1:18" x14ac:dyDescent="0.3">
      <c r="A158" t="s">
        <v>207</v>
      </c>
      <c r="B158">
        <v>85345</v>
      </c>
      <c r="C158" t="s">
        <v>208</v>
      </c>
      <c r="D158" t="s">
        <v>182</v>
      </c>
      <c r="E158" t="s">
        <v>22</v>
      </c>
      <c r="F158" t="s">
        <v>183</v>
      </c>
      <c r="J158" t="s">
        <v>24</v>
      </c>
      <c r="K158">
        <v>1999</v>
      </c>
      <c r="L158" t="s">
        <v>37</v>
      </c>
      <c r="M158">
        <v>1644</v>
      </c>
      <c r="N158">
        <v>4</v>
      </c>
      <c r="O158">
        <v>2</v>
      </c>
      <c r="P158" t="s">
        <v>187</v>
      </c>
      <c r="Q158">
        <v>33.553791061767001</v>
      </c>
      <c r="R158">
        <v>-112.29933921820501</v>
      </c>
    </row>
    <row r="159" spans="1:18" x14ac:dyDescent="0.3">
      <c r="A159" t="s">
        <v>209</v>
      </c>
      <c r="B159">
        <v>85225</v>
      </c>
      <c r="C159" t="s">
        <v>181</v>
      </c>
      <c r="D159" t="s">
        <v>182</v>
      </c>
      <c r="E159" t="s">
        <v>22</v>
      </c>
      <c r="F159" t="s">
        <v>183</v>
      </c>
      <c r="J159" t="s">
        <v>24</v>
      </c>
      <c r="K159">
        <v>1974</v>
      </c>
      <c r="L159" t="s">
        <v>37</v>
      </c>
      <c r="M159">
        <v>988</v>
      </c>
      <c r="N159">
        <v>3</v>
      </c>
      <c r="O159">
        <v>2</v>
      </c>
      <c r="P159" t="s">
        <v>190</v>
      </c>
      <c r="Q159">
        <v>33.311389858513998</v>
      </c>
      <c r="R159">
        <v>-111.86198425100299</v>
      </c>
    </row>
    <row r="160" spans="1:18" x14ac:dyDescent="0.3">
      <c r="A160" t="s">
        <v>210</v>
      </c>
      <c r="B160">
        <v>85282</v>
      </c>
      <c r="C160" t="s">
        <v>189</v>
      </c>
      <c r="D160" t="s">
        <v>182</v>
      </c>
      <c r="E160" t="s">
        <v>22</v>
      </c>
      <c r="F160" t="s">
        <v>183</v>
      </c>
      <c r="J160" t="s">
        <v>24</v>
      </c>
      <c r="K160">
        <v>1979</v>
      </c>
      <c r="L160" t="s">
        <v>37</v>
      </c>
      <c r="M160">
        <v>1621</v>
      </c>
      <c r="N160">
        <v>3</v>
      </c>
      <c r="O160">
        <v>2</v>
      </c>
      <c r="P160" t="s">
        <v>187</v>
      </c>
      <c r="Q160">
        <v>33.380256664651</v>
      </c>
      <c r="R160">
        <v>-111.95603943055301</v>
      </c>
    </row>
    <row r="161" spans="1:18" x14ac:dyDescent="0.3">
      <c r="A161" t="s">
        <v>211</v>
      </c>
      <c r="B161">
        <v>85345</v>
      </c>
      <c r="C161" t="s">
        <v>208</v>
      </c>
      <c r="D161" t="s">
        <v>182</v>
      </c>
      <c r="E161" t="s">
        <v>22</v>
      </c>
      <c r="F161" t="s">
        <v>183</v>
      </c>
      <c r="J161" t="s">
        <v>24</v>
      </c>
      <c r="K161">
        <v>1998</v>
      </c>
      <c r="L161" t="s">
        <v>37</v>
      </c>
      <c r="M161">
        <v>1301</v>
      </c>
      <c r="N161">
        <v>3</v>
      </c>
      <c r="O161">
        <v>2</v>
      </c>
      <c r="P161" t="s">
        <v>187</v>
      </c>
      <c r="Q161">
        <v>33.559475039858</v>
      </c>
      <c r="R161">
        <v>-112.301590010664</v>
      </c>
    </row>
    <row r="162" spans="1:18" x14ac:dyDescent="0.3">
      <c r="A162" t="s">
        <v>212</v>
      </c>
      <c r="B162">
        <v>85345</v>
      </c>
      <c r="C162" t="s">
        <v>208</v>
      </c>
      <c r="D162" t="s">
        <v>182</v>
      </c>
      <c r="E162" t="s">
        <v>22</v>
      </c>
      <c r="F162" t="s">
        <v>183</v>
      </c>
      <c r="J162" t="s">
        <v>24</v>
      </c>
      <c r="K162">
        <v>1998</v>
      </c>
      <c r="L162" t="s">
        <v>37</v>
      </c>
      <c r="M162">
        <v>1353</v>
      </c>
      <c r="N162">
        <v>3</v>
      </c>
      <c r="O162">
        <v>2</v>
      </c>
      <c r="Q162">
        <v>33.559475039858</v>
      </c>
      <c r="R162">
        <v>-112.301590010664</v>
      </c>
    </row>
    <row r="163" spans="1:18" x14ac:dyDescent="0.3">
      <c r="A163" t="s">
        <v>213</v>
      </c>
      <c r="B163">
        <v>85345</v>
      </c>
      <c r="C163" t="s">
        <v>208</v>
      </c>
      <c r="D163" t="s">
        <v>182</v>
      </c>
      <c r="E163" t="s">
        <v>22</v>
      </c>
      <c r="F163" t="s">
        <v>183</v>
      </c>
      <c r="J163" t="s">
        <v>24</v>
      </c>
      <c r="K163">
        <v>1986</v>
      </c>
      <c r="L163" t="s">
        <v>37</v>
      </c>
      <c r="M163">
        <v>1083</v>
      </c>
      <c r="N163">
        <v>2</v>
      </c>
      <c r="O163">
        <v>2</v>
      </c>
      <c r="P163" t="s">
        <v>194</v>
      </c>
      <c r="Q163">
        <v>33.564208971134001</v>
      </c>
      <c r="R163">
        <v>-112.304397529133</v>
      </c>
    </row>
    <row r="164" spans="1:18" x14ac:dyDescent="0.3">
      <c r="A164" t="s">
        <v>214</v>
      </c>
      <c r="B164">
        <v>85281</v>
      </c>
      <c r="C164" t="s">
        <v>189</v>
      </c>
      <c r="D164" t="s">
        <v>182</v>
      </c>
      <c r="E164" t="s">
        <v>22</v>
      </c>
      <c r="F164" t="s">
        <v>183</v>
      </c>
      <c r="J164" t="s">
        <v>24</v>
      </c>
      <c r="K164">
        <v>1963</v>
      </c>
      <c r="L164" t="s">
        <v>37</v>
      </c>
      <c r="M164">
        <v>1386</v>
      </c>
      <c r="N164">
        <v>3</v>
      </c>
      <c r="O164">
        <v>2</v>
      </c>
      <c r="P164" t="s">
        <v>198</v>
      </c>
      <c r="Q164">
        <v>33.416187368993</v>
      </c>
      <c r="R164">
        <v>-111.955970782766</v>
      </c>
    </row>
    <row r="165" spans="1:18" x14ac:dyDescent="0.3">
      <c r="A165" t="s">
        <v>215</v>
      </c>
      <c r="B165">
        <v>85207</v>
      </c>
      <c r="C165" t="s">
        <v>186</v>
      </c>
      <c r="D165" t="s">
        <v>182</v>
      </c>
      <c r="E165" t="s">
        <v>22</v>
      </c>
      <c r="F165" t="s">
        <v>183</v>
      </c>
      <c r="J165" t="s">
        <v>24</v>
      </c>
      <c r="K165">
        <v>1998</v>
      </c>
      <c r="L165" t="s">
        <v>37</v>
      </c>
      <c r="M165">
        <v>1204</v>
      </c>
      <c r="N165">
        <v>3</v>
      </c>
      <c r="O165">
        <v>2</v>
      </c>
      <c r="P165" t="s">
        <v>187</v>
      </c>
      <c r="Q165">
        <v>33.422950726665</v>
      </c>
      <c r="R165">
        <v>-111.58370213191201</v>
      </c>
    </row>
    <row r="166" spans="1:18" x14ac:dyDescent="0.3">
      <c r="A166" t="s">
        <v>216</v>
      </c>
      <c r="B166">
        <v>85335</v>
      </c>
      <c r="C166" t="s">
        <v>217</v>
      </c>
      <c r="D166" t="s">
        <v>182</v>
      </c>
      <c r="E166" t="s">
        <v>22</v>
      </c>
      <c r="F166" t="s">
        <v>183</v>
      </c>
      <c r="J166" t="s">
        <v>24</v>
      </c>
      <c r="K166">
        <v>2019</v>
      </c>
      <c r="L166" t="s">
        <v>37</v>
      </c>
      <c r="M166">
        <v>1895</v>
      </c>
      <c r="N166">
        <v>3</v>
      </c>
      <c r="O166">
        <v>2</v>
      </c>
      <c r="Q166">
        <v>33.609878524956002</v>
      </c>
      <c r="R166">
        <v>-112.30842595561801</v>
      </c>
    </row>
    <row r="167" spans="1:18" x14ac:dyDescent="0.3">
      <c r="A167" t="s">
        <v>218</v>
      </c>
      <c r="B167">
        <v>85208</v>
      </c>
      <c r="C167" t="s">
        <v>186</v>
      </c>
      <c r="D167" t="s">
        <v>182</v>
      </c>
      <c r="E167" t="s">
        <v>22</v>
      </c>
      <c r="F167" t="s">
        <v>183</v>
      </c>
      <c r="J167" t="s">
        <v>24</v>
      </c>
      <c r="K167">
        <v>1979</v>
      </c>
      <c r="L167" t="s">
        <v>37</v>
      </c>
      <c r="M167">
        <v>1334</v>
      </c>
      <c r="N167">
        <v>3</v>
      </c>
      <c r="O167">
        <v>2</v>
      </c>
      <c r="Q167">
        <v>33.404918696453997</v>
      </c>
      <c r="R167">
        <v>-111.58226010929</v>
      </c>
    </row>
    <row r="168" spans="1:18" x14ac:dyDescent="0.3">
      <c r="A168" t="s">
        <v>219</v>
      </c>
      <c r="B168">
        <v>85335</v>
      </c>
      <c r="C168" t="s">
        <v>217</v>
      </c>
      <c r="D168" t="s">
        <v>182</v>
      </c>
      <c r="E168" t="s">
        <v>22</v>
      </c>
      <c r="F168" t="s">
        <v>183</v>
      </c>
      <c r="J168" t="s">
        <v>24</v>
      </c>
      <c r="K168">
        <v>2002</v>
      </c>
      <c r="L168" t="s">
        <v>37</v>
      </c>
      <c r="M168">
        <v>1238</v>
      </c>
      <c r="N168">
        <v>3</v>
      </c>
      <c r="O168">
        <v>2</v>
      </c>
      <c r="Q168">
        <v>33.592445297908</v>
      </c>
      <c r="R168">
        <v>-112.310974221821</v>
      </c>
    </row>
    <row r="169" spans="1:18" x14ac:dyDescent="0.3">
      <c r="A169" t="s">
        <v>220</v>
      </c>
      <c r="B169">
        <v>85283</v>
      </c>
      <c r="C169" t="s">
        <v>189</v>
      </c>
      <c r="D169" t="s">
        <v>182</v>
      </c>
      <c r="E169" t="s">
        <v>22</v>
      </c>
      <c r="F169" t="s">
        <v>183</v>
      </c>
      <c r="J169" t="s">
        <v>24</v>
      </c>
      <c r="K169">
        <v>1980</v>
      </c>
      <c r="L169" t="s">
        <v>37</v>
      </c>
      <c r="M169">
        <v>1173</v>
      </c>
      <c r="N169">
        <v>4</v>
      </c>
      <c r="O169">
        <v>2</v>
      </c>
      <c r="P169" t="s">
        <v>194</v>
      </c>
      <c r="Q169">
        <v>33.373554159595002</v>
      </c>
      <c r="R169">
        <v>-111.95825200153401</v>
      </c>
    </row>
    <row r="170" spans="1:18" x14ac:dyDescent="0.3">
      <c r="A170" t="s">
        <v>221</v>
      </c>
      <c r="B170">
        <v>85335</v>
      </c>
      <c r="C170" t="s">
        <v>217</v>
      </c>
      <c r="D170" t="s">
        <v>182</v>
      </c>
      <c r="E170" t="s">
        <v>22</v>
      </c>
      <c r="F170" t="s">
        <v>183</v>
      </c>
      <c r="J170" t="s">
        <v>24</v>
      </c>
      <c r="K170">
        <v>2002</v>
      </c>
      <c r="L170" t="s">
        <v>37</v>
      </c>
      <c r="M170">
        <v>1238</v>
      </c>
      <c r="N170">
        <v>3</v>
      </c>
      <c r="O170">
        <v>2</v>
      </c>
      <c r="P170" t="s">
        <v>187</v>
      </c>
      <c r="Q170">
        <v>33.588733623544002</v>
      </c>
      <c r="R170">
        <v>-112.3150101082</v>
      </c>
    </row>
    <row r="171" spans="1:18" x14ac:dyDescent="0.3">
      <c r="A171" t="s">
        <v>222</v>
      </c>
      <c r="B171">
        <v>85282</v>
      </c>
      <c r="C171" t="s">
        <v>189</v>
      </c>
      <c r="D171" t="s">
        <v>182</v>
      </c>
      <c r="E171" t="s">
        <v>22</v>
      </c>
      <c r="F171" t="s">
        <v>183</v>
      </c>
      <c r="J171" t="s">
        <v>24</v>
      </c>
      <c r="K171">
        <v>1972</v>
      </c>
      <c r="L171" t="s">
        <v>37</v>
      </c>
      <c r="M171">
        <v>1379</v>
      </c>
      <c r="N171">
        <v>4</v>
      </c>
      <c r="O171">
        <v>2</v>
      </c>
      <c r="P171" t="s">
        <v>198</v>
      </c>
      <c r="Q171">
        <v>33.388130205399001</v>
      </c>
      <c r="R171">
        <v>-111.957191439326</v>
      </c>
    </row>
    <row r="172" spans="1:18" x14ac:dyDescent="0.3">
      <c r="A172" t="s">
        <v>223</v>
      </c>
      <c r="B172">
        <v>85224</v>
      </c>
      <c r="C172" t="s">
        <v>181</v>
      </c>
      <c r="D172" t="s">
        <v>182</v>
      </c>
      <c r="E172" t="s">
        <v>22</v>
      </c>
      <c r="F172" t="s">
        <v>183</v>
      </c>
      <c r="J172" t="s">
        <v>24</v>
      </c>
      <c r="K172">
        <v>1973</v>
      </c>
      <c r="L172" t="s">
        <v>37</v>
      </c>
      <c r="M172">
        <v>1197</v>
      </c>
      <c r="N172">
        <v>3</v>
      </c>
      <c r="O172">
        <v>2</v>
      </c>
      <c r="Q172">
        <v>33.313274361805</v>
      </c>
      <c r="R172">
        <v>-111.863845871698</v>
      </c>
    </row>
    <row r="173" spans="1:18" x14ac:dyDescent="0.3">
      <c r="A173" t="s">
        <v>224</v>
      </c>
      <c r="B173">
        <v>85020</v>
      </c>
      <c r="C173" t="s">
        <v>225</v>
      </c>
      <c r="D173" t="s">
        <v>182</v>
      </c>
      <c r="E173" t="s">
        <v>22</v>
      </c>
      <c r="F173" t="s">
        <v>183</v>
      </c>
      <c r="J173" t="s">
        <v>24</v>
      </c>
      <c r="K173">
        <v>1962</v>
      </c>
      <c r="L173" t="s">
        <v>37</v>
      </c>
      <c r="M173">
        <v>1120</v>
      </c>
      <c r="N173">
        <v>3</v>
      </c>
      <c r="O173">
        <v>2</v>
      </c>
      <c r="P173" t="s">
        <v>190</v>
      </c>
      <c r="Q173">
        <v>33.585124920859997</v>
      </c>
      <c r="R173">
        <v>-112.05577846246599</v>
      </c>
    </row>
    <row r="174" spans="1:18" x14ac:dyDescent="0.3">
      <c r="A174" t="s">
        <v>226</v>
      </c>
      <c r="B174">
        <v>85282</v>
      </c>
      <c r="C174" t="s">
        <v>189</v>
      </c>
      <c r="D174" t="s">
        <v>182</v>
      </c>
      <c r="E174" t="s">
        <v>22</v>
      </c>
      <c r="F174" t="s">
        <v>183</v>
      </c>
      <c r="J174" t="s">
        <v>24</v>
      </c>
      <c r="K174">
        <v>1975</v>
      </c>
      <c r="L174" t="s">
        <v>37</v>
      </c>
      <c r="M174">
        <v>1386</v>
      </c>
      <c r="N174">
        <v>3</v>
      </c>
      <c r="O174">
        <v>2</v>
      </c>
      <c r="Q174">
        <v>33.405330666994999</v>
      </c>
      <c r="R174">
        <v>-111.919380171187</v>
      </c>
    </row>
    <row r="175" spans="1:18" x14ac:dyDescent="0.3">
      <c r="A175" t="s">
        <v>227</v>
      </c>
      <c r="B175">
        <v>85282</v>
      </c>
      <c r="C175" t="s">
        <v>189</v>
      </c>
      <c r="D175" t="s">
        <v>182</v>
      </c>
      <c r="E175" t="s">
        <v>22</v>
      </c>
      <c r="F175" t="s">
        <v>183</v>
      </c>
      <c r="J175" t="s">
        <v>24</v>
      </c>
      <c r="K175">
        <v>1974</v>
      </c>
      <c r="L175" t="s">
        <v>37</v>
      </c>
      <c r="M175">
        <v>1606</v>
      </c>
      <c r="N175">
        <v>3</v>
      </c>
      <c r="O175">
        <v>2</v>
      </c>
      <c r="P175" t="s">
        <v>187</v>
      </c>
      <c r="Q175">
        <v>33.388080542621999</v>
      </c>
      <c r="R175">
        <v>-111.957687396536</v>
      </c>
    </row>
    <row r="176" spans="1:18" x14ac:dyDescent="0.3">
      <c r="A176" t="s">
        <v>228</v>
      </c>
      <c r="B176">
        <v>85281</v>
      </c>
      <c r="C176" t="s">
        <v>189</v>
      </c>
      <c r="D176" t="s">
        <v>182</v>
      </c>
      <c r="E176" t="s">
        <v>22</v>
      </c>
      <c r="F176" t="s">
        <v>183</v>
      </c>
      <c r="J176" t="s">
        <v>24</v>
      </c>
      <c r="K176">
        <v>1965</v>
      </c>
      <c r="L176" t="s">
        <v>37</v>
      </c>
      <c r="M176">
        <v>1515</v>
      </c>
      <c r="N176">
        <v>3</v>
      </c>
      <c r="O176">
        <v>2</v>
      </c>
      <c r="P176" t="s">
        <v>190</v>
      </c>
      <c r="Q176">
        <v>33.418811742876997</v>
      </c>
      <c r="R176">
        <v>-111.95738212762301</v>
      </c>
    </row>
    <row r="177" spans="1:18" x14ac:dyDescent="0.3">
      <c r="A177" t="s">
        <v>229</v>
      </c>
      <c r="B177">
        <v>85335</v>
      </c>
      <c r="C177" t="s">
        <v>217</v>
      </c>
      <c r="D177" t="s">
        <v>182</v>
      </c>
      <c r="E177" t="s">
        <v>22</v>
      </c>
      <c r="F177" t="s">
        <v>183</v>
      </c>
      <c r="J177" t="s">
        <v>24</v>
      </c>
      <c r="K177">
        <v>2002</v>
      </c>
      <c r="M177">
        <v>2232</v>
      </c>
      <c r="N177">
        <v>4</v>
      </c>
      <c r="O177">
        <v>3</v>
      </c>
      <c r="Q177">
        <v>33.596080738863002</v>
      </c>
      <c r="R177">
        <v>-112.33613585696401</v>
      </c>
    </row>
    <row r="178" spans="1:18" x14ac:dyDescent="0.3">
      <c r="A178" t="s">
        <v>230</v>
      </c>
      <c r="B178">
        <v>85224</v>
      </c>
      <c r="C178" t="s">
        <v>181</v>
      </c>
      <c r="D178" t="s">
        <v>182</v>
      </c>
      <c r="E178" t="s">
        <v>22</v>
      </c>
      <c r="F178" t="s">
        <v>183</v>
      </c>
      <c r="J178" t="s">
        <v>24</v>
      </c>
      <c r="K178">
        <v>1976</v>
      </c>
      <c r="L178" t="s">
        <v>37</v>
      </c>
      <c r="M178">
        <v>1607</v>
      </c>
      <c r="N178">
        <v>3</v>
      </c>
      <c r="O178">
        <v>2</v>
      </c>
      <c r="P178" t="s">
        <v>198</v>
      </c>
      <c r="Q178">
        <v>33.317714675011999</v>
      </c>
      <c r="R178">
        <v>-111.86441793659</v>
      </c>
    </row>
    <row r="179" spans="1:18" x14ac:dyDescent="0.3">
      <c r="A179" t="s">
        <v>231</v>
      </c>
      <c r="B179">
        <v>85335</v>
      </c>
      <c r="C179" t="s">
        <v>217</v>
      </c>
      <c r="D179" t="s">
        <v>182</v>
      </c>
      <c r="E179" t="s">
        <v>22</v>
      </c>
      <c r="F179" t="s">
        <v>183</v>
      </c>
      <c r="J179" t="s">
        <v>24</v>
      </c>
      <c r="K179">
        <v>2002</v>
      </c>
      <c r="L179" t="s">
        <v>37</v>
      </c>
      <c r="M179">
        <v>1534</v>
      </c>
      <c r="N179">
        <v>4</v>
      </c>
      <c r="O179">
        <v>2</v>
      </c>
      <c r="Q179">
        <v>33.616806000293003</v>
      </c>
      <c r="R179">
        <v>-112.327949503589</v>
      </c>
    </row>
    <row r="180" spans="1:18" x14ac:dyDescent="0.3">
      <c r="A180" t="s">
        <v>232</v>
      </c>
      <c r="B180">
        <v>85224</v>
      </c>
      <c r="C180" t="s">
        <v>181</v>
      </c>
      <c r="D180" t="s">
        <v>182</v>
      </c>
      <c r="E180" t="s">
        <v>22</v>
      </c>
      <c r="F180" t="s">
        <v>183</v>
      </c>
      <c r="J180" t="s">
        <v>24</v>
      </c>
      <c r="K180">
        <v>1969</v>
      </c>
      <c r="L180" t="s">
        <v>37</v>
      </c>
      <c r="M180">
        <v>1176</v>
      </c>
      <c r="N180">
        <v>3</v>
      </c>
      <c r="O180">
        <v>2</v>
      </c>
      <c r="P180" t="s">
        <v>187</v>
      </c>
      <c r="Q180">
        <v>33.307098324088003</v>
      </c>
      <c r="R180">
        <v>-111.865325948161</v>
      </c>
    </row>
    <row r="181" spans="1:18" x14ac:dyDescent="0.3">
      <c r="A181" t="s">
        <v>233</v>
      </c>
      <c r="B181">
        <v>85224</v>
      </c>
      <c r="C181" t="s">
        <v>181</v>
      </c>
      <c r="D181" t="s">
        <v>182</v>
      </c>
      <c r="E181" t="s">
        <v>22</v>
      </c>
      <c r="F181" t="s">
        <v>183</v>
      </c>
      <c r="J181" t="s">
        <v>24</v>
      </c>
      <c r="K181">
        <v>1969</v>
      </c>
      <c r="L181" t="s">
        <v>37</v>
      </c>
      <c r="M181">
        <v>1260</v>
      </c>
      <c r="N181">
        <v>3</v>
      </c>
      <c r="O181">
        <v>1.5</v>
      </c>
      <c r="P181" t="s">
        <v>190</v>
      </c>
      <c r="Q181">
        <v>33.307151842540001</v>
      </c>
      <c r="R181">
        <v>-111.86626438604</v>
      </c>
    </row>
    <row r="182" spans="1:18" x14ac:dyDescent="0.3">
      <c r="A182" t="s">
        <v>234</v>
      </c>
      <c r="B182">
        <v>85335</v>
      </c>
      <c r="C182" t="s">
        <v>217</v>
      </c>
      <c r="D182" t="s">
        <v>182</v>
      </c>
      <c r="E182" t="s">
        <v>22</v>
      </c>
      <c r="F182" t="s">
        <v>183</v>
      </c>
      <c r="J182" t="s">
        <v>24</v>
      </c>
      <c r="K182">
        <v>2002</v>
      </c>
      <c r="L182" t="s">
        <v>37</v>
      </c>
      <c r="M182">
        <v>1901</v>
      </c>
      <c r="N182">
        <v>3</v>
      </c>
      <c r="O182">
        <v>2</v>
      </c>
      <c r="Q182">
        <v>33.595081364546999</v>
      </c>
      <c r="R182">
        <v>-112.33486180768099</v>
      </c>
    </row>
    <row r="183" spans="1:18" x14ac:dyDescent="0.3">
      <c r="A183" t="s">
        <v>235</v>
      </c>
      <c r="B183">
        <v>85029</v>
      </c>
      <c r="C183" t="s">
        <v>225</v>
      </c>
      <c r="D183" t="s">
        <v>182</v>
      </c>
      <c r="E183" t="s">
        <v>22</v>
      </c>
      <c r="F183" t="s">
        <v>183</v>
      </c>
      <c r="J183" t="s">
        <v>24</v>
      </c>
      <c r="K183">
        <v>1979</v>
      </c>
      <c r="L183" t="s">
        <v>37</v>
      </c>
      <c r="M183">
        <v>1468</v>
      </c>
      <c r="N183">
        <v>3</v>
      </c>
      <c r="O183">
        <v>2</v>
      </c>
      <c r="P183" t="s">
        <v>187</v>
      </c>
      <c r="Q183">
        <v>33.602531493455999</v>
      </c>
      <c r="R183">
        <v>-112.14311219386001</v>
      </c>
    </row>
    <row r="184" spans="1:18" x14ac:dyDescent="0.3">
      <c r="A184" t="s">
        <v>236</v>
      </c>
      <c r="B184">
        <v>85335</v>
      </c>
      <c r="C184" t="s">
        <v>217</v>
      </c>
      <c r="D184" t="s">
        <v>182</v>
      </c>
      <c r="E184" t="s">
        <v>22</v>
      </c>
      <c r="F184" t="s">
        <v>183</v>
      </c>
      <c r="J184" t="s">
        <v>24</v>
      </c>
      <c r="K184">
        <v>2002</v>
      </c>
      <c r="L184" t="s">
        <v>37</v>
      </c>
      <c r="M184">
        <v>1348</v>
      </c>
      <c r="N184">
        <v>3</v>
      </c>
      <c r="O184">
        <v>2</v>
      </c>
      <c r="Q184">
        <v>33.608451841216997</v>
      </c>
      <c r="R184">
        <v>-112.337295493268</v>
      </c>
    </row>
    <row r="185" spans="1:18" x14ac:dyDescent="0.3">
      <c r="A185" t="s">
        <v>237</v>
      </c>
      <c r="B185">
        <v>85335</v>
      </c>
      <c r="C185" t="s">
        <v>217</v>
      </c>
      <c r="D185" t="s">
        <v>182</v>
      </c>
      <c r="E185" t="s">
        <v>22</v>
      </c>
      <c r="F185" t="s">
        <v>183</v>
      </c>
      <c r="J185" t="s">
        <v>24</v>
      </c>
      <c r="K185">
        <v>2002</v>
      </c>
      <c r="L185" t="s">
        <v>37</v>
      </c>
      <c r="M185">
        <v>1407</v>
      </c>
      <c r="N185">
        <v>3</v>
      </c>
      <c r="O185">
        <v>2</v>
      </c>
      <c r="P185" t="s">
        <v>187</v>
      </c>
      <c r="Q185">
        <v>33.598892238735999</v>
      </c>
      <c r="R185">
        <v>-112.33969112501499</v>
      </c>
    </row>
    <row r="186" spans="1:18" x14ac:dyDescent="0.3">
      <c r="A186" t="s">
        <v>238</v>
      </c>
      <c r="B186">
        <v>85224</v>
      </c>
      <c r="C186" t="s">
        <v>181</v>
      </c>
      <c r="D186" t="s">
        <v>182</v>
      </c>
      <c r="E186" t="s">
        <v>22</v>
      </c>
      <c r="F186" t="s">
        <v>183</v>
      </c>
      <c r="J186" t="s">
        <v>24</v>
      </c>
      <c r="K186">
        <v>1981</v>
      </c>
      <c r="L186" t="s">
        <v>37</v>
      </c>
      <c r="M186">
        <v>1101</v>
      </c>
      <c r="N186">
        <v>3</v>
      </c>
      <c r="O186">
        <v>2</v>
      </c>
      <c r="P186" t="s">
        <v>190</v>
      </c>
      <c r="Q186">
        <v>33.350509667467001</v>
      </c>
      <c r="R186">
        <v>-111.86476888687601</v>
      </c>
    </row>
    <row r="187" spans="1:18" x14ac:dyDescent="0.3">
      <c r="A187" t="s">
        <v>239</v>
      </c>
      <c r="B187">
        <v>85379</v>
      </c>
      <c r="C187" t="s">
        <v>240</v>
      </c>
      <c r="D187" t="s">
        <v>182</v>
      </c>
      <c r="E187" t="s">
        <v>22</v>
      </c>
      <c r="F187" t="s">
        <v>183</v>
      </c>
      <c r="J187" t="s">
        <v>24</v>
      </c>
      <c r="K187">
        <v>2001</v>
      </c>
      <c r="L187" t="s">
        <v>37</v>
      </c>
      <c r="M187">
        <v>1518</v>
      </c>
      <c r="N187">
        <v>3</v>
      </c>
      <c r="O187">
        <v>2</v>
      </c>
      <c r="P187" t="s">
        <v>187</v>
      </c>
      <c r="Q187">
        <v>33.619529657820003</v>
      </c>
      <c r="R187">
        <v>-112.347892817272</v>
      </c>
    </row>
    <row r="188" spans="1:18" x14ac:dyDescent="0.3">
      <c r="A188" t="s">
        <v>241</v>
      </c>
      <c r="B188">
        <v>85395</v>
      </c>
      <c r="C188" t="s">
        <v>242</v>
      </c>
      <c r="D188" t="s">
        <v>182</v>
      </c>
      <c r="E188" t="s">
        <v>22</v>
      </c>
      <c r="F188" t="s">
        <v>183</v>
      </c>
      <c r="J188" t="s">
        <v>24</v>
      </c>
      <c r="K188">
        <v>1998</v>
      </c>
      <c r="L188" t="s">
        <v>37</v>
      </c>
      <c r="M188">
        <v>1683</v>
      </c>
      <c r="N188">
        <v>3</v>
      </c>
      <c r="O188">
        <v>2.5</v>
      </c>
      <c r="P188" t="s">
        <v>187</v>
      </c>
      <c r="Q188">
        <v>33.465435031553</v>
      </c>
      <c r="R188">
        <v>-112.351623602375</v>
      </c>
    </row>
    <row r="189" spans="1:18" x14ac:dyDescent="0.3">
      <c r="A189" t="s">
        <v>243</v>
      </c>
      <c r="B189">
        <v>85225</v>
      </c>
      <c r="C189" t="s">
        <v>181</v>
      </c>
      <c r="D189" t="s">
        <v>182</v>
      </c>
      <c r="E189" t="s">
        <v>22</v>
      </c>
      <c r="F189" t="s">
        <v>183</v>
      </c>
      <c r="J189" t="s">
        <v>24</v>
      </c>
      <c r="K189">
        <v>1985</v>
      </c>
      <c r="L189" t="s">
        <v>37</v>
      </c>
      <c r="M189">
        <v>1858</v>
      </c>
      <c r="N189">
        <v>3</v>
      </c>
      <c r="O189">
        <v>2</v>
      </c>
      <c r="P189" t="s">
        <v>187</v>
      </c>
      <c r="Q189">
        <v>33.327247664950001</v>
      </c>
      <c r="R189">
        <v>-111.846511928293</v>
      </c>
    </row>
    <row r="190" spans="1:18" x14ac:dyDescent="0.3">
      <c r="A190" t="s">
        <v>244</v>
      </c>
      <c r="B190">
        <v>85225</v>
      </c>
      <c r="C190" t="s">
        <v>181</v>
      </c>
      <c r="D190" t="s">
        <v>182</v>
      </c>
      <c r="E190" t="s">
        <v>22</v>
      </c>
      <c r="F190" t="s">
        <v>183</v>
      </c>
      <c r="J190" t="s">
        <v>24</v>
      </c>
      <c r="K190">
        <v>1995</v>
      </c>
      <c r="L190" t="s">
        <v>37</v>
      </c>
      <c r="M190">
        <v>1776</v>
      </c>
      <c r="N190">
        <v>4</v>
      </c>
      <c r="O190">
        <v>2</v>
      </c>
      <c r="P190" t="s">
        <v>198</v>
      </c>
      <c r="Q190">
        <v>33.328571335100001</v>
      </c>
      <c r="R190">
        <v>-111.84380348392</v>
      </c>
    </row>
    <row r="191" spans="1:18" x14ac:dyDescent="0.3">
      <c r="A191" t="s">
        <v>245</v>
      </c>
      <c r="B191">
        <v>85283</v>
      </c>
      <c r="C191" t="s">
        <v>189</v>
      </c>
      <c r="D191" t="s">
        <v>182</v>
      </c>
      <c r="E191" t="s">
        <v>22</v>
      </c>
      <c r="F191" t="s">
        <v>183</v>
      </c>
      <c r="H191">
        <v>241</v>
      </c>
      <c r="J191" t="s">
        <v>24</v>
      </c>
      <c r="K191">
        <v>1984</v>
      </c>
      <c r="L191" t="s">
        <v>37</v>
      </c>
      <c r="M191">
        <v>979</v>
      </c>
      <c r="N191">
        <v>2</v>
      </c>
      <c r="O191">
        <v>2</v>
      </c>
      <c r="P191" t="s">
        <v>190</v>
      </c>
      <c r="Q191">
        <v>33.363792427519002</v>
      </c>
      <c r="R191">
        <v>-111.91522224429799</v>
      </c>
    </row>
    <row r="192" spans="1:18" x14ac:dyDescent="0.3">
      <c r="A192" t="s">
        <v>246</v>
      </c>
      <c r="B192">
        <v>85281</v>
      </c>
      <c r="C192" t="s">
        <v>189</v>
      </c>
      <c r="D192" t="s">
        <v>182</v>
      </c>
      <c r="E192" t="s">
        <v>22</v>
      </c>
      <c r="F192" t="s">
        <v>183</v>
      </c>
      <c r="J192" t="s">
        <v>24</v>
      </c>
      <c r="K192">
        <v>2003</v>
      </c>
      <c r="L192" t="s">
        <v>37</v>
      </c>
      <c r="M192">
        <v>1360</v>
      </c>
      <c r="N192">
        <v>3</v>
      </c>
      <c r="O192">
        <v>2</v>
      </c>
      <c r="P192" t="s">
        <v>194</v>
      </c>
      <c r="Q192">
        <v>33.411983551184001</v>
      </c>
      <c r="R192">
        <v>-111.9185791127</v>
      </c>
    </row>
    <row r="193" spans="1:18" x14ac:dyDescent="0.3">
      <c r="A193" t="s">
        <v>247</v>
      </c>
      <c r="B193">
        <v>85281</v>
      </c>
      <c r="C193" t="s">
        <v>189</v>
      </c>
      <c r="D193" t="s">
        <v>182</v>
      </c>
      <c r="E193" t="s">
        <v>22</v>
      </c>
      <c r="F193" t="s">
        <v>183</v>
      </c>
      <c r="I193" t="s">
        <v>24</v>
      </c>
      <c r="K193">
        <v>2007</v>
      </c>
      <c r="L193" t="s">
        <v>37</v>
      </c>
      <c r="M193">
        <v>1507</v>
      </c>
      <c r="N193">
        <v>4</v>
      </c>
      <c r="O193">
        <v>2</v>
      </c>
      <c r="P193" t="s">
        <v>187</v>
      </c>
      <c r="Q193">
        <v>33.411838544258998</v>
      </c>
      <c r="R193">
        <v>-111.918037390298</v>
      </c>
    </row>
    <row r="194" spans="1:18" x14ac:dyDescent="0.3">
      <c r="A194" t="s">
        <v>248</v>
      </c>
      <c r="B194">
        <v>85281</v>
      </c>
      <c r="C194" t="s">
        <v>189</v>
      </c>
      <c r="D194" t="s">
        <v>182</v>
      </c>
      <c r="E194" t="s">
        <v>22</v>
      </c>
      <c r="F194" t="s">
        <v>183</v>
      </c>
      <c r="J194" t="s">
        <v>24</v>
      </c>
      <c r="K194">
        <v>2003</v>
      </c>
      <c r="L194" t="s">
        <v>37</v>
      </c>
      <c r="M194">
        <v>1342</v>
      </c>
      <c r="N194">
        <v>3</v>
      </c>
      <c r="O194">
        <v>2</v>
      </c>
      <c r="P194" t="s">
        <v>194</v>
      </c>
      <c r="Q194">
        <v>33.411979737418001</v>
      </c>
      <c r="R194">
        <v>-111.919380171187</v>
      </c>
    </row>
    <row r="195" spans="1:18" x14ac:dyDescent="0.3">
      <c r="A195" t="s">
        <v>249</v>
      </c>
      <c r="B195">
        <v>85281</v>
      </c>
      <c r="C195" t="s">
        <v>189</v>
      </c>
      <c r="D195" t="s">
        <v>182</v>
      </c>
      <c r="E195" t="s">
        <v>22</v>
      </c>
      <c r="F195" t="s">
        <v>183</v>
      </c>
      <c r="K195">
        <v>2021</v>
      </c>
      <c r="L195" t="s">
        <v>37</v>
      </c>
      <c r="M195">
        <v>600</v>
      </c>
      <c r="N195">
        <v>1</v>
      </c>
      <c r="O195">
        <v>1</v>
      </c>
      <c r="Q195">
        <v>33.412136356363</v>
      </c>
      <c r="R195">
        <v>-111.92203706420401</v>
      </c>
    </row>
    <row r="196" spans="1:18" x14ac:dyDescent="0.3">
      <c r="A196" t="s">
        <v>250</v>
      </c>
      <c r="B196">
        <v>85281</v>
      </c>
      <c r="C196" t="s">
        <v>189</v>
      </c>
      <c r="D196" t="s">
        <v>182</v>
      </c>
      <c r="E196" t="s">
        <v>22</v>
      </c>
      <c r="F196" t="s">
        <v>183</v>
      </c>
      <c r="I196" t="s">
        <v>24</v>
      </c>
      <c r="K196">
        <v>2021</v>
      </c>
      <c r="L196" t="s">
        <v>37</v>
      </c>
      <c r="M196">
        <v>600</v>
      </c>
      <c r="N196">
        <v>1</v>
      </c>
      <c r="O196">
        <v>1</v>
      </c>
      <c r="Q196">
        <v>33.411308346973001</v>
      </c>
      <c r="R196">
        <v>-111.921821651944</v>
      </c>
    </row>
    <row r="197" spans="1:18" x14ac:dyDescent="0.3">
      <c r="A197" t="s">
        <v>251</v>
      </c>
      <c r="B197">
        <v>85281</v>
      </c>
      <c r="C197" t="s">
        <v>189</v>
      </c>
      <c r="D197" t="s">
        <v>182</v>
      </c>
      <c r="E197" t="s">
        <v>22</v>
      </c>
      <c r="F197" t="s">
        <v>183</v>
      </c>
      <c r="I197" t="s">
        <v>24</v>
      </c>
      <c r="K197">
        <v>2021</v>
      </c>
      <c r="L197" t="s">
        <v>27</v>
      </c>
      <c r="M197">
        <v>600</v>
      </c>
      <c r="N197">
        <v>1</v>
      </c>
      <c r="O197">
        <v>1</v>
      </c>
      <c r="Q197">
        <v>33.411346442723001</v>
      </c>
      <c r="R197">
        <v>-111.922004712709</v>
      </c>
    </row>
    <row r="198" spans="1:18" x14ac:dyDescent="0.3">
      <c r="A198" t="s">
        <v>252</v>
      </c>
      <c r="B198">
        <v>85281</v>
      </c>
      <c r="C198" t="s">
        <v>189</v>
      </c>
      <c r="D198" t="s">
        <v>182</v>
      </c>
      <c r="E198" t="s">
        <v>22</v>
      </c>
      <c r="F198" t="s">
        <v>183</v>
      </c>
      <c r="I198" t="s">
        <v>24</v>
      </c>
      <c r="K198">
        <v>2021</v>
      </c>
      <c r="L198" t="s">
        <v>37</v>
      </c>
      <c r="M198">
        <v>600</v>
      </c>
      <c r="N198">
        <v>1</v>
      </c>
      <c r="O198">
        <v>1</v>
      </c>
      <c r="Q198">
        <v>33.411308388883</v>
      </c>
      <c r="R198">
        <v>-111.921737749093</v>
      </c>
    </row>
    <row r="199" spans="1:18" x14ac:dyDescent="0.3">
      <c r="A199" t="s">
        <v>253</v>
      </c>
      <c r="B199">
        <v>85379</v>
      </c>
      <c r="C199" t="s">
        <v>240</v>
      </c>
      <c r="D199" t="s">
        <v>182</v>
      </c>
      <c r="E199" t="s">
        <v>22</v>
      </c>
      <c r="F199" t="s">
        <v>183</v>
      </c>
      <c r="J199" t="s">
        <v>24</v>
      </c>
      <c r="K199">
        <v>2020</v>
      </c>
      <c r="L199" t="s">
        <v>37</v>
      </c>
      <c r="M199">
        <v>2756</v>
      </c>
      <c r="N199">
        <v>4</v>
      </c>
      <c r="O199">
        <v>3</v>
      </c>
      <c r="P199" t="s">
        <v>194</v>
      </c>
      <c r="Q199">
        <v>33.608657868397003</v>
      </c>
      <c r="R199">
        <v>-112.37429799156899</v>
      </c>
    </row>
    <row r="200" spans="1:18" x14ac:dyDescent="0.3">
      <c r="A200" t="s">
        <v>254</v>
      </c>
      <c r="B200">
        <v>85281</v>
      </c>
      <c r="C200" t="s">
        <v>189</v>
      </c>
      <c r="D200" t="s">
        <v>182</v>
      </c>
      <c r="E200" t="s">
        <v>22</v>
      </c>
      <c r="F200" t="s">
        <v>183</v>
      </c>
      <c r="I200" t="s">
        <v>24</v>
      </c>
      <c r="K200">
        <v>2021</v>
      </c>
      <c r="L200" t="s">
        <v>37</v>
      </c>
      <c r="M200">
        <v>600</v>
      </c>
      <c r="N200">
        <v>1</v>
      </c>
      <c r="O200">
        <v>1</v>
      </c>
      <c r="Q200">
        <v>33.411304449387998</v>
      </c>
      <c r="R200">
        <v>-111.922004712709</v>
      </c>
    </row>
    <row r="201" spans="1:18" x14ac:dyDescent="0.3">
      <c r="A201" t="s">
        <v>255</v>
      </c>
      <c r="B201">
        <v>85281</v>
      </c>
      <c r="C201" t="s">
        <v>189</v>
      </c>
      <c r="D201" t="s">
        <v>182</v>
      </c>
      <c r="E201" t="s">
        <v>22</v>
      </c>
      <c r="F201" t="s">
        <v>183</v>
      </c>
      <c r="I201" t="s">
        <v>24</v>
      </c>
      <c r="K201">
        <v>2021</v>
      </c>
      <c r="L201" t="s">
        <v>37</v>
      </c>
      <c r="M201">
        <v>600</v>
      </c>
      <c r="N201">
        <v>1</v>
      </c>
      <c r="O201">
        <v>1</v>
      </c>
      <c r="Q201">
        <v>33.411300719442004</v>
      </c>
      <c r="R201">
        <v>-111.92171469885901</v>
      </c>
    </row>
    <row r="202" spans="1:18" x14ac:dyDescent="0.3">
      <c r="A202" s="4" t="s">
        <v>256</v>
      </c>
      <c r="B202">
        <v>85281</v>
      </c>
      <c r="C202" t="s">
        <v>189</v>
      </c>
      <c r="D202" t="s">
        <v>182</v>
      </c>
      <c r="E202" t="s">
        <v>22</v>
      </c>
      <c r="F202" t="s">
        <v>183</v>
      </c>
      <c r="K202">
        <v>2019</v>
      </c>
      <c r="M202">
        <v>600</v>
      </c>
      <c r="N202">
        <v>1</v>
      </c>
      <c r="O202">
        <v>1</v>
      </c>
      <c r="Q202">
        <v>33.411296821857</v>
      </c>
      <c r="R202">
        <v>-111.921997085177</v>
      </c>
    </row>
    <row r="203" spans="1:18" x14ac:dyDescent="0.3">
      <c r="A203" t="s">
        <v>257</v>
      </c>
      <c r="B203">
        <v>85281</v>
      </c>
      <c r="C203" t="s">
        <v>189</v>
      </c>
      <c r="D203" t="s">
        <v>182</v>
      </c>
      <c r="E203" t="s">
        <v>22</v>
      </c>
      <c r="F203" t="s">
        <v>183</v>
      </c>
      <c r="I203" t="s">
        <v>24</v>
      </c>
      <c r="K203">
        <v>2021</v>
      </c>
      <c r="L203" t="s">
        <v>37</v>
      </c>
      <c r="M203">
        <v>600</v>
      </c>
      <c r="N203">
        <v>1</v>
      </c>
      <c r="O203">
        <v>1</v>
      </c>
      <c r="Q203">
        <v>33.411273939261001</v>
      </c>
      <c r="R203">
        <v>-111.92170707132701</v>
      </c>
    </row>
    <row r="204" spans="1:18" x14ac:dyDescent="0.3">
      <c r="A204" t="s">
        <v>258</v>
      </c>
      <c r="B204">
        <v>85379</v>
      </c>
      <c r="C204" t="s">
        <v>240</v>
      </c>
      <c r="D204" t="s">
        <v>182</v>
      </c>
      <c r="E204" t="s">
        <v>22</v>
      </c>
      <c r="F204" t="s">
        <v>183</v>
      </c>
      <c r="K204">
        <v>2001</v>
      </c>
      <c r="L204" t="s">
        <v>37</v>
      </c>
      <c r="M204">
        <v>1558</v>
      </c>
      <c r="N204">
        <v>3</v>
      </c>
      <c r="O204">
        <v>2</v>
      </c>
      <c r="P204" t="s">
        <v>194</v>
      </c>
      <c r="Q204">
        <v>33.618480746457003</v>
      </c>
      <c r="R204">
        <v>-112.37925714458299</v>
      </c>
    </row>
    <row r="205" spans="1:18" x14ac:dyDescent="0.3">
      <c r="A205" t="s">
        <v>259</v>
      </c>
      <c r="B205">
        <v>85281</v>
      </c>
      <c r="C205" t="s">
        <v>189</v>
      </c>
      <c r="D205" t="s">
        <v>182</v>
      </c>
      <c r="E205" t="s">
        <v>22</v>
      </c>
      <c r="F205" t="s">
        <v>183</v>
      </c>
      <c r="I205" t="s">
        <v>24</v>
      </c>
      <c r="K205">
        <v>2021</v>
      </c>
      <c r="L205" t="s">
        <v>27</v>
      </c>
      <c r="M205">
        <v>600</v>
      </c>
      <c r="N205">
        <v>1</v>
      </c>
      <c r="O205">
        <v>1</v>
      </c>
      <c r="Q205">
        <v>33.411281566793001</v>
      </c>
      <c r="R205">
        <v>-111.921989457645</v>
      </c>
    </row>
    <row r="206" spans="1:18" x14ac:dyDescent="0.3">
      <c r="A206" t="s">
        <v>260</v>
      </c>
      <c r="B206">
        <v>85224</v>
      </c>
      <c r="C206" t="s">
        <v>181</v>
      </c>
      <c r="D206" t="s">
        <v>182</v>
      </c>
      <c r="E206" t="s">
        <v>22</v>
      </c>
      <c r="F206" t="s">
        <v>183</v>
      </c>
      <c r="J206" t="s">
        <v>24</v>
      </c>
      <c r="K206">
        <v>1989</v>
      </c>
      <c r="L206" t="s">
        <v>37</v>
      </c>
      <c r="M206">
        <v>1927</v>
      </c>
      <c r="N206">
        <v>3</v>
      </c>
      <c r="O206">
        <v>2</v>
      </c>
      <c r="P206" t="s">
        <v>187</v>
      </c>
      <c r="Q206">
        <v>33.297428080484998</v>
      </c>
      <c r="R206">
        <v>-111.866935692666</v>
      </c>
    </row>
    <row r="207" spans="1:18" x14ac:dyDescent="0.3">
      <c r="A207" t="s">
        <v>261</v>
      </c>
      <c r="B207">
        <v>85306</v>
      </c>
      <c r="C207" t="s">
        <v>262</v>
      </c>
      <c r="D207" t="s">
        <v>182</v>
      </c>
      <c r="E207" t="s">
        <v>22</v>
      </c>
      <c r="F207" t="s">
        <v>183</v>
      </c>
      <c r="J207" t="s">
        <v>24</v>
      </c>
      <c r="K207">
        <v>1971</v>
      </c>
      <c r="L207" t="s">
        <v>37</v>
      </c>
      <c r="M207">
        <v>1128</v>
      </c>
      <c r="N207">
        <v>3</v>
      </c>
      <c r="O207">
        <v>2</v>
      </c>
      <c r="P207" t="s">
        <v>184</v>
      </c>
      <c r="Q207">
        <v>33.620410931119999</v>
      </c>
      <c r="R207">
        <v>-112.176139826037</v>
      </c>
    </row>
    <row r="208" spans="1:18" x14ac:dyDescent="0.3">
      <c r="A208" t="s">
        <v>263</v>
      </c>
      <c r="B208">
        <v>85281</v>
      </c>
      <c r="C208" t="s">
        <v>189</v>
      </c>
      <c r="D208" t="s">
        <v>182</v>
      </c>
      <c r="E208" t="s">
        <v>22</v>
      </c>
      <c r="F208" t="s">
        <v>183</v>
      </c>
      <c r="I208" t="s">
        <v>24</v>
      </c>
      <c r="K208">
        <v>2021</v>
      </c>
      <c r="L208" t="s">
        <v>37</v>
      </c>
      <c r="M208">
        <v>600</v>
      </c>
      <c r="N208">
        <v>1</v>
      </c>
      <c r="O208">
        <v>1</v>
      </c>
      <c r="Q208">
        <v>33.411262456053002</v>
      </c>
      <c r="R208">
        <v>-111.92196657505001</v>
      </c>
    </row>
    <row r="209" spans="1:18" x14ac:dyDescent="0.3">
      <c r="A209" t="s">
        <v>264</v>
      </c>
      <c r="B209">
        <v>85281</v>
      </c>
      <c r="C209" t="s">
        <v>189</v>
      </c>
      <c r="D209" t="s">
        <v>182</v>
      </c>
      <c r="E209" t="s">
        <v>22</v>
      </c>
      <c r="F209" t="s">
        <v>183</v>
      </c>
      <c r="I209" t="s">
        <v>24</v>
      </c>
      <c r="K209">
        <v>2021</v>
      </c>
      <c r="L209" t="s">
        <v>37</v>
      </c>
      <c r="M209">
        <v>600</v>
      </c>
      <c r="N209">
        <v>1</v>
      </c>
      <c r="O209">
        <v>1</v>
      </c>
      <c r="Q209">
        <v>33.411254870431002</v>
      </c>
      <c r="R209">
        <v>-111.92192080985799</v>
      </c>
    </row>
    <row r="210" spans="1:18" x14ac:dyDescent="0.3">
      <c r="A210" t="s">
        <v>265</v>
      </c>
      <c r="B210">
        <v>85281</v>
      </c>
      <c r="C210" t="s">
        <v>189</v>
      </c>
      <c r="D210" t="s">
        <v>182</v>
      </c>
      <c r="E210" t="s">
        <v>22</v>
      </c>
      <c r="F210" t="s">
        <v>183</v>
      </c>
      <c r="I210" t="s">
        <v>24</v>
      </c>
      <c r="K210">
        <v>2021</v>
      </c>
      <c r="L210" t="s">
        <v>37</v>
      </c>
      <c r="M210">
        <v>600</v>
      </c>
      <c r="N210">
        <v>1</v>
      </c>
      <c r="O210">
        <v>1</v>
      </c>
      <c r="Q210">
        <v>33.411251014755997</v>
      </c>
      <c r="R210">
        <v>-111.921836907008</v>
      </c>
    </row>
    <row r="211" spans="1:18" x14ac:dyDescent="0.3">
      <c r="A211" t="s">
        <v>266</v>
      </c>
      <c r="B211">
        <v>85281</v>
      </c>
      <c r="C211" t="s">
        <v>189</v>
      </c>
      <c r="D211" t="s">
        <v>182</v>
      </c>
      <c r="E211" t="s">
        <v>22</v>
      </c>
      <c r="F211" t="s">
        <v>183</v>
      </c>
      <c r="I211" t="s">
        <v>24</v>
      </c>
      <c r="K211">
        <v>2021</v>
      </c>
      <c r="L211" t="s">
        <v>37</v>
      </c>
      <c r="M211">
        <v>600</v>
      </c>
      <c r="N211">
        <v>1</v>
      </c>
      <c r="O211">
        <v>1</v>
      </c>
      <c r="Q211">
        <v>33.411251056665002</v>
      </c>
      <c r="R211">
        <v>-111.92174529280599</v>
      </c>
    </row>
    <row r="212" spans="1:18" x14ac:dyDescent="0.3">
      <c r="A212" t="s">
        <v>267</v>
      </c>
      <c r="B212">
        <v>85374</v>
      </c>
      <c r="C212" t="s">
        <v>240</v>
      </c>
      <c r="D212" t="s">
        <v>182</v>
      </c>
      <c r="E212" t="s">
        <v>22</v>
      </c>
      <c r="F212" t="s">
        <v>183</v>
      </c>
      <c r="J212" t="s">
        <v>24</v>
      </c>
      <c r="K212">
        <v>1995</v>
      </c>
      <c r="L212" t="s">
        <v>37</v>
      </c>
      <c r="M212">
        <v>1234</v>
      </c>
      <c r="N212">
        <v>3</v>
      </c>
      <c r="O212">
        <v>2</v>
      </c>
      <c r="P212" t="s">
        <v>187</v>
      </c>
      <c r="Q212">
        <v>33.639240331780002</v>
      </c>
      <c r="R212">
        <v>-112.383392272696</v>
      </c>
    </row>
    <row r="213" spans="1:18" x14ac:dyDescent="0.3">
      <c r="A213" t="s">
        <v>268</v>
      </c>
      <c r="B213">
        <v>85281</v>
      </c>
      <c r="C213" t="s">
        <v>189</v>
      </c>
      <c r="D213" t="s">
        <v>182</v>
      </c>
      <c r="E213" t="s">
        <v>22</v>
      </c>
      <c r="F213" t="s">
        <v>183</v>
      </c>
      <c r="I213" t="s">
        <v>24</v>
      </c>
      <c r="K213">
        <v>2021</v>
      </c>
      <c r="L213" t="s">
        <v>37</v>
      </c>
      <c r="M213">
        <v>600</v>
      </c>
      <c r="N213">
        <v>1</v>
      </c>
      <c r="O213">
        <v>1</v>
      </c>
      <c r="Q213">
        <v>33.411258684197001</v>
      </c>
      <c r="R213">
        <v>-111.921714782678</v>
      </c>
    </row>
    <row r="214" spans="1:18" x14ac:dyDescent="0.3">
      <c r="A214" t="s">
        <v>269</v>
      </c>
      <c r="B214">
        <v>85234</v>
      </c>
      <c r="C214" t="s">
        <v>201</v>
      </c>
      <c r="D214" t="s">
        <v>182</v>
      </c>
      <c r="E214" t="s">
        <v>22</v>
      </c>
      <c r="F214" t="s">
        <v>183</v>
      </c>
      <c r="H214">
        <v>16</v>
      </c>
      <c r="J214" t="s">
        <v>24</v>
      </c>
      <c r="K214">
        <v>1985</v>
      </c>
      <c r="M214">
        <v>1054</v>
      </c>
      <c r="N214">
        <v>3</v>
      </c>
      <c r="O214">
        <v>2</v>
      </c>
      <c r="P214" t="s">
        <v>184</v>
      </c>
      <c r="Q214">
        <v>33.376689871483002</v>
      </c>
      <c r="R214">
        <v>-111.78543861572901</v>
      </c>
    </row>
    <row r="215" spans="1:18" x14ac:dyDescent="0.3">
      <c r="A215" t="s">
        <v>270</v>
      </c>
      <c r="B215">
        <v>85338</v>
      </c>
      <c r="C215" t="s">
        <v>242</v>
      </c>
      <c r="D215" t="s">
        <v>182</v>
      </c>
      <c r="E215" t="s">
        <v>22</v>
      </c>
      <c r="F215" t="s">
        <v>183</v>
      </c>
      <c r="J215" t="s">
        <v>24</v>
      </c>
      <c r="K215">
        <v>2004</v>
      </c>
      <c r="L215" t="s">
        <v>37</v>
      </c>
      <c r="M215">
        <v>1578</v>
      </c>
      <c r="N215">
        <v>3</v>
      </c>
      <c r="O215">
        <v>2</v>
      </c>
      <c r="P215" t="s">
        <v>187</v>
      </c>
      <c r="Q215">
        <v>33.440917922855</v>
      </c>
      <c r="R215">
        <v>-112.385620098741</v>
      </c>
    </row>
    <row r="216" spans="1:18" x14ac:dyDescent="0.3">
      <c r="A216" t="s">
        <v>271</v>
      </c>
      <c r="B216">
        <v>85281</v>
      </c>
      <c r="C216" t="s">
        <v>189</v>
      </c>
      <c r="D216" t="s">
        <v>182</v>
      </c>
      <c r="E216" t="s">
        <v>22</v>
      </c>
      <c r="F216" t="s">
        <v>183</v>
      </c>
      <c r="J216" t="s">
        <v>24</v>
      </c>
      <c r="K216">
        <v>1950</v>
      </c>
      <c r="L216" t="s">
        <v>37</v>
      </c>
      <c r="M216">
        <v>1009</v>
      </c>
      <c r="N216">
        <v>2</v>
      </c>
      <c r="O216">
        <v>1</v>
      </c>
      <c r="P216" t="s">
        <v>190</v>
      </c>
      <c r="Q216">
        <v>33.413509350928003</v>
      </c>
      <c r="R216">
        <v>-111.913360623602</v>
      </c>
    </row>
    <row r="217" spans="1:18" x14ac:dyDescent="0.3">
      <c r="A217" t="s">
        <v>272</v>
      </c>
      <c r="B217">
        <v>85282</v>
      </c>
      <c r="C217" t="s">
        <v>189</v>
      </c>
      <c r="D217" t="s">
        <v>182</v>
      </c>
      <c r="E217" t="s">
        <v>22</v>
      </c>
      <c r="F217" t="s">
        <v>183</v>
      </c>
      <c r="J217" t="s">
        <v>24</v>
      </c>
      <c r="K217">
        <v>1968</v>
      </c>
      <c r="L217" t="s">
        <v>37</v>
      </c>
      <c r="M217">
        <v>1401</v>
      </c>
      <c r="N217">
        <v>3</v>
      </c>
      <c r="O217">
        <v>2</v>
      </c>
      <c r="P217" t="s">
        <v>190</v>
      </c>
      <c r="Q217">
        <v>33.396152566837003</v>
      </c>
      <c r="R217">
        <v>-111.963943397609</v>
      </c>
    </row>
    <row r="218" spans="1:18" x14ac:dyDescent="0.3">
      <c r="A218" t="s">
        <v>273</v>
      </c>
      <c r="B218">
        <v>85374</v>
      </c>
      <c r="C218" t="s">
        <v>240</v>
      </c>
      <c r="D218" t="s">
        <v>182</v>
      </c>
      <c r="E218" t="s">
        <v>22</v>
      </c>
      <c r="F218" t="s">
        <v>183</v>
      </c>
      <c r="J218" t="s">
        <v>24</v>
      </c>
      <c r="K218">
        <v>1997</v>
      </c>
      <c r="L218" t="s">
        <v>37</v>
      </c>
      <c r="M218">
        <v>1336</v>
      </c>
      <c r="N218">
        <v>3</v>
      </c>
      <c r="O218">
        <v>2</v>
      </c>
      <c r="P218" t="s">
        <v>187</v>
      </c>
      <c r="Q218">
        <v>33.642250105572003</v>
      </c>
      <c r="R218">
        <v>-112.391662528921</v>
      </c>
    </row>
    <row r="219" spans="1:18" x14ac:dyDescent="0.3">
      <c r="A219" t="s">
        <v>274</v>
      </c>
      <c r="B219">
        <v>85379</v>
      </c>
      <c r="C219" t="s">
        <v>240</v>
      </c>
      <c r="D219" t="s">
        <v>182</v>
      </c>
      <c r="E219" t="s">
        <v>22</v>
      </c>
      <c r="F219" t="s">
        <v>183</v>
      </c>
      <c r="J219" t="s">
        <v>24</v>
      </c>
      <c r="K219">
        <v>2004</v>
      </c>
      <c r="L219" t="s">
        <v>37</v>
      </c>
      <c r="M219">
        <v>1478</v>
      </c>
      <c r="N219">
        <v>4</v>
      </c>
      <c r="O219">
        <v>2</v>
      </c>
      <c r="P219" t="s">
        <v>194</v>
      </c>
      <c r="Q219">
        <v>33.587257360846998</v>
      </c>
      <c r="R219">
        <v>-112.392036361802</v>
      </c>
    </row>
    <row r="220" spans="1:18" x14ac:dyDescent="0.3">
      <c r="A220" t="s">
        <v>275</v>
      </c>
      <c r="B220">
        <v>85338</v>
      </c>
      <c r="C220" t="s">
        <v>242</v>
      </c>
      <c r="D220" t="s">
        <v>182</v>
      </c>
      <c r="E220" t="s">
        <v>22</v>
      </c>
      <c r="F220" t="s">
        <v>183</v>
      </c>
      <c r="J220" t="s">
        <v>24</v>
      </c>
      <c r="K220">
        <v>2004</v>
      </c>
      <c r="L220" t="s">
        <v>37</v>
      </c>
      <c r="M220">
        <v>1245</v>
      </c>
      <c r="N220">
        <v>3</v>
      </c>
      <c r="O220">
        <v>2</v>
      </c>
      <c r="Q220">
        <v>33.427127890022</v>
      </c>
      <c r="R220">
        <v>-112.394767856409</v>
      </c>
    </row>
    <row r="221" spans="1:18" x14ac:dyDescent="0.3">
      <c r="A221" t="s">
        <v>276</v>
      </c>
      <c r="B221">
        <v>85023</v>
      </c>
      <c r="C221" t="s">
        <v>225</v>
      </c>
      <c r="D221" t="s">
        <v>182</v>
      </c>
      <c r="E221" t="s">
        <v>22</v>
      </c>
      <c r="F221" t="s">
        <v>183</v>
      </c>
      <c r="J221" t="s">
        <v>24</v>
      </c>
      <c r="K221">
        <v>1978</v>
      </c>
      <c r="L221" t="s">
        <v>37</v>
      </c>
      <c r="M221">
        <v>1608</v>
      </c>
      <c r="N221">
        <v>3</v>
      </c>
      <c r="O221">
        <v>2</v>
      </c>
      <c r="P221" t="s">
        <v>187</v>
      </c>
      <c r="Q221">
        <v>33.631530699149003</v>
      </c>
      <c r="R221">
        <v>-112.113601692074</v>
      </c>
    </row>
    <row r="222" spans="1:18" x14ac:dyDescent="0.3">
      <c r="A222" t="s">
        <v>277</v>
      </c>
      <c r="B222">
        <v>85225</v>
      </c>
      <c r="C222" t="s">
        <v>181</v>
      </c>
      <c r="D222" t="s">
        <v>182</v>
      </c>
      <c r="E222" t="s">
        <v>22</v>
      </c>
      <c r="F222" t="s">
        <v>183</v>
      </c>
      <c r="J222" t="s">
        <v>24</v>
      </c>
      <c r="K222">
        <v>1956</v>
      </c>
      <c r="L222" t="s">
        <v>37</v>
      </c>
      <c r="M222">
        <v>1392</v>
      </c>
      <c r="N222">
        <v>3</v>
      </c>
      <c r="O222">
        <v>2</v>
      </c>
      <c r="P222" t="s">
        <v>190</v>
      </c>
      <c r="Q222">
        <v>33.317348469662001</v>
      </c>
      <c r="R222">
        <v>-111.844818113299</v>
      </c>
    </row>
    <row r="223" spans="1:18" x14ac:dyDescent="0.3">
      <c r="A223" t="s">
        <v>278</v>
      </c>
      <c r="B223">
        <v>85015</v>
      </c>
      <c r="C223" t="s">
        <v>225</v>
      </c>
      <c r="D223" t="s">
        <v>182</v>
      </c>
      <c r="E223" t="s">
        <v>22</v>
      </c>
      <c r="F223" t="s">
        <v>183</v>
      </c>
      <c r="H223">
        <v>18</v>
      </c>
      <c r="J223" t="s">
        <v>24</v>
      </c>
      <c r="K223">
        <v>2020</v>
      </c>
      <c r="L223" t="s">
        <v>27</v>
      </c>
      <c r="M223">
        <v>1254</v>
      </c>
      <c r="N223">
        <v>2</v>
      </c>
      <c r="O223">
        <v>2.5</v>
      </c>
      <c r="P223" t="s">
        <v>194</v>
      </c>
      <c r="Q223">
        <v>33.512992818613</v>
      </c>
      <c r="R223">
        <v>-112.094009328677</v>
      </c>
    </row>
    <row r="224" spans="1:18" x14ac:dyDescent="0.3">
      <c r="A224" t="s">
        <v>279</v>
      </c>
      <c r="B224">
        <v>85379</v>
      </c>
      <c r="C224" t="s">
        <v>240</v>
      </c>
      <c r="D224" t="s">
        <v>182</v>
      </c>
      <c r="E224" t="s">
        <v>22</v>
      </c>
      <c r="F224" t="s">
        <v>183</v>
      </c>
      <c r="J224" t="s">
        <v>24</v>
      </c>
      <c r="K224">
        <v>2002</v>
      </c>
      <c r="L224" t="s">
        <v>37</v>
      </c>
      <c r="M224">
        <v>1677</v>
      </c>
      <c r="N224">
        <v>3</v>
      </c>
      <c r="O224">
        <v>2</v>
      </c>
      <c r="P224" t="s">
        <v>194</v>
      </c>
      <c r="Q224">
        <v>33.612640445872003</v>
      </c>
      <c r="R224">
        <v>-112.407623348947</v>
      </c>
    </row>
    <row r="225" spans="1:18" x14ac:dyDescent="0.3">
      <c r="A225" t="s">
        <v>280</v>
      </c>
      <c r="B225">
        <v>85225</v>
      </c>
      <c r="C225" t="s">
        <v>181</v>
      </c>
      <c r="D225" t="s">
        <v>182</v>
      </c>
      <c r="E225" t="s">
        <v>22</v>
      </c>
      <c r="F225" t="s">
        <v>183</v>
      </c>
      <c r="J225" t="s">
        <v>24</v>
      </c>
      <c r="K225">
        <v>1994</v>
      </c>
      <c r="L225" t="s">
        <v>37</v>
      </c>
      <c r="M225">
        <v>1906</v>
      </c>
      <c r="N225">
        <v>4</v>
      </c>
      <c r="O225">
        <v>3</v>
      </c>
      <c r="P225" t="s">
        <v>187</v>
      </c>
      <c r="Q225">
        <v>33.311672286741</v>
      </c>
      <c r="R225">
        <v>-111.813034104096</v>
      </c>
    </row>
    <row r="226" spans="1:18" x14ac:dyDescent="0.3">
      <c r="A226" t="s">
        <v>281</v>
      </c>
      <c r="B226">
        <v>85306</v>
      </c>
      <c r="C226" t="s">
        <v>262</v>
      </c>
      <c r="D226" t="s">
        <v>182</v>
      </c>
      <c r="E226" t="s">
        <v>22</v>
      </c>
      <c r="F226" t="s">
        <v>183</v>
      </c>
      <c r="J226" t="s">
        <v>24</v>
      </c>
      <c r="K226">
        <v>1980</v>
      </c>
      <c r="L226" t="s">
        <v>37</v>
      </c>
      <c r="M226">
        <v>1298</v>
      </c>
      <c r="N226">
        <v>3</v>
      </c>
      <c r="O226">
        <v>2</v>
      </c>
      <c r="P226" t="s">
        <v>187</v>
      </c>
      <c r="Q226">
        <v>33.634021716953001</v>
      </c>
      <c r="R226">
        <v>-112.154487609935</v>
      </c>
    </row>
    <row r="227" spans="1:18" x14ac:dyDescent="0.3">
      <c r="A227" t="s">
        <v>282</v>
      </c>
      <c r="B227">
        <v>85379</v>
      </c>
      <c r="C227" t="s">
        <v>240</v>
      </c>
      <c r="D227" t="s">
        <v>182</v>
      </c>
      <c r="E227" t="s">
        <v>22</v>
      </c>
      <c r="F227" t="s">
        <v>183</v>
      </c>
      <c r="J227" t="s">
        <v>24</v>
      </c>
      <c r="L227" t="s">
        <v>37</v>
      </c>
      <c r="M227">
        <v>2649</v>
      </c>
      <c r="N227">
        <v>4</v>
      </c>
      <c r="O227">
        <v>3</v>
      </c>
      <c r="Q227">
        <v>33.583034516117998</v>
      </c>
      <c r="R227">
        <v>-112.408203209009</v>
      </c>
    </row>
    <row r="228" spans="1:18" x14ac:dyDescent="0.3">
      <c r="A228" t="s">
        <v>283</v>
      </c>
      <c r="B228">
        <v>85224</v>
      </c>
      <c r="C228" t="s">
        <v>181</v>
      </c>
      <c r="D228" t="s">
        <v>182</v>
      </c>
      <c r="E228" t="s">
        <v>22</v>
      </c>
      <c r="F228" t="s">
        <v>183</v>
      </c>
      <c r="J228" t="s">
        <v>24</v>
      </c>
      <c r="K228">
        <v>1985</v>
      </c>
      <c r="L228" t="s">
        <v>37</v>
      </c>
      <c r="M228">
        <v>1763</v>
      </c>
      <c r="N228">
        <v>3</v>
      </c>
      <c r="O228">
        <v>2</v>
      </c>
      <c r="P228" t="s">
        <v>187</v>
      </c>
      <c r="Q228">
        <v>33.330867767021999</v>
      </c>
      <c r="R228">
        <v>-111.883743252551</v>
      </c>
    </row>
    <row r="229" spans="1:18" x14ac:dyDescent="0.3">
      <c r="A229" t="s">
        <v>284</v>
      </c>
      <c r="B229">
        <v>85282</v>
      </c>
      <c r="C229" t="s">
        <v>189</v>
      </c>
      <c r="D229" t="s">
        <v>182</v>
      </c>
      <c r="E229" t="s">
        <v>22</v>
      </c>
      <c r="F229" t="s">
        <v>183</v>
      </c>
      <c r="J229" t="s">
        <v>24</v>
      </c>
      <c r="K229">
        <v>1969</v>
      </c>
      <c r="L229" t="s">
        <v>37</v>
      </c>
      <c r="M229">
        <v>1040</v>
      </c>
      <c r="N229">
        <v>3</v>
      </c>
      <c r="O229">
        <v>1</v>
      </c>
      <c r="Q229">
        <v>33.393970505984001</v>
      </c>
      <c r="R229">
        <v>-111.965644756316</v>
      </c>
    </row>
    <row r="230" spans="1:18" x14ac:dyDescent="0.3">
      <c r="A230" t="s">
        <v>285</v>
      </c>
      <c r="B230">
        <v>85225</v>
      </c>
      <c r="C230" t="s">
        <v>181</v>
      </c>
      <c r="D230" t="s">
        <v>182</v>
      </c>
      <c r="E230" t="s">
        <v>22</v>
      </c>
      <c r="F230" t="s">
        <v>183</v>
      </c>
      <c r="J230" t="s">
        <v>24</v>
      </c>
      <c r="K230">
        <v>1996</v>
      </c>
      <c r="L230" t="s">
        <v>37</v>
      </c>
      <c r="M230">
        <v>1428</v>
      </c>
      <c r="N230">
        <v>3</v>
      </c>
      <c r="O230">
        <v>2</v>
      </c>
      <c r="P230" t="s">
        <v>187</v>
      </c>
      <c r="Q230">
        <v>33.330883063995998</v>
      </c>
      <c r="R230">
        <v>-111.85079189569301</v>
      </c>
    </row>
    <row r="231" spans="1:18" x14ac:dyDescent="0.3">
      <c r="A231" t="s">
        <v>286</v>
      </c>
      <c r="B231">
        <v>85388</v>
      </c>
      <c r="C231" t="s">
        <v>240</v>
      </c>
      <c r="D231" t="s">
        <v>182</v>
      </c>
      <c r="E231" t="s">
        <v>22</v>
      </c>
      <c r="F231" t="s">
        <v>183</v>
      </c>
      <c r="J231" t="s">
        <v>24</v>
      </c>
      <c r="K231">
        <v>2003</v>
      </c>
      <c r="L231" t="s">
        <v>37</v>
      </c>
      <c r="M231">
        <v>1603</v>
      </c>
      <c r="N231">
        <v>3</v>
      </c>
      <c r="O231">
        <v>2</v>
      </c>
      <c r="Q231">
        <v>33.633991206826003</v>
      </c>
      <c r="R231">
        <v>-112.416206417799</v>
      </c>
    </row>
    <row r="232" spans="1:18" x14ac:dyDescent="0.3">
      <c r="A232" t="s">
        <v>287</v>
      </c>
      <c r="B232">
        <v>85282</v>
      </c>
      <c r="C232" t="s">
        <v>189</v>
      </c>
      <c r="D232" t="s">
        <v>182</v>
      </c>
      <c r="E232" t="s">
        <v>22</v>
      </c>
      <c r="F232" t="s">
        <v>183</v>
      </c>
      <c r="J232" t="s">
        <v>24</v>
      </c>
      <c r="K232">
        <v>1968</v>
      </c>
      <c r="L232" t="s">
        <v>37</v>
      </c>
      <c r="M232">
        <v>1632</v>
      </c>
      <c r="N232">
        <v>3</v>
      </c>
      <c r="O232">
        <v>2</v>
      </c>
      <c r="P232" t="s">
        <v>190</v>
      </c>
      <c r="Q232">
        <v>33.402660318372</v>
      </c>
      <c r="R232">
        <v>-111.910667350474</v>
      </c>
    </row>
    <row r="233" spans="1:18" x14ac:dyDescent="0.3">
      <c r="A233" t="s">
        <v>288</v>
      </c>
      <c r="B233">
        <v>85374</v>
      </c>
      <c r="C233" t="s">
        <v>240</v>
      </c>
      <c r="D233" t="s">
        <v>182</v>
      </c>
      <c r="E233" t="s">
        <v>22</v>
      </c>
      <c r="F233" t="s">
        <v>183</v>
      </c>
      <c r="J233" t="s">
        <v>24</v>
      </c>
      <c r="K233">
        <v>2005</v>
      </c>
      <c r="L233" t="s">
        <v>37</v>
      </c>
      <c r="M233">
        <v>1598</v>
      </c>
      <c r="N233">
        <v>3</v>
      </c>
      <c r="O233">
        <v>2</v>
      </c>
      <c r="Q233">
        <v>33.642043994573001</v>
      </c>
      <c r="R233">
        <v>-112.421653816673</v>
      </c>
    </row>
    <row r="234" spans="1:18" x14ac:dyDescent="0.3">
      <c r="A234" t="s">
        <v>289</v>
      </c>
      <c r="B234">
        <v>85234</v>
      </c>
      <c r="C234" t="s">
        <v>201</v>
      </c>
      <c r="D234" t="s">
        <v>182</v>
      </c>
      <c r="E234" t="s">
        <v>22</v>
      </c>
      <c r="F234" t="s">
        <v>183</v>
      </c>
      <c r="H234">
        <v>165</v>
      </c>
      <c r="J234" t="s">
        <v>24</v>
      </c>
      <c r="K234">
        <v>1989</v>
      </c>
      <c r="L234" t="s">
        <v>37</v>
      </c>
      <c r="M234">
        <v>816</v>
      </c>
      <c r="N234">
        <v>2</v>
      </c>
      <c r="O234">
        <v>2</v>
      </c>
      <c r="Q234">
        <v>33.366588546598997</v>
      </c>
      <c r="R234">
        <v>-111.787940949103</v>
      </c>
    </row>
    <row r="235" spans="1:18" x14ac:dyDescent="0.3">
      <c r="A235" t="s">
        <v>290</v>
      </c>
      <c r="B235">
        <v>85225</v>
      </c>
      <c r="C235" t="s">
        <v>181</v>
      </c>
      <c r="D235" t="s">
        <v>182</v>
      </c>
      <c r="E235" t="s">
        <v>22</v>
      </c>
      <c r="F235" t="s">
        <v>183</v>
      </c>
      <c r="K235">
        <v>1995</v>
      </c>
      <c r="L235" t="s">
        <v>37</v>
      </c>
      <c r="M235">
        <v>1579</v>
      </c>
      <c r="N235">
        <v>3</v>
      </c>
      <c r="O235">
        <v>2</v>
      </c>
      <c r="P235" t="s">
        <v>187</v>
      </c>
      <c r="Q235">
        <v>33.321830818114002</v>
      </c>
      <c r="R235">
        <v>-111.811057986604</v>
      </c>
    </row>
    <row r="236" spans="1:18" x14ac:dyDescent="0.3">
      <c r="A236" t="s">
        <v>291</v>
      </c>
      <c r="B236">
        <v>85283</v>
      </c>
      <c r="C236" t="s">
        <v>189</v>
      </c>
      <c r="D236" t="s">
        <v>182</v>
      </c>
      <c r="E236" t="s">
        <v>22</v>
      </c>
      <c r="F236" t="s">
        <v>183</v>
      </c>
      <c r="J236" t="s">
        <v>24</v>
      </c>
      <c r="K236">
        <v>1983</v>
      </c>
      <c r="L236" t="s">
        <v>37</v>
      </c>
      <c r="M236">
        <v>1080</v>
      </c>
      <c r="N236">
        <v>3</v>
      </c>
      <c r="O236">
        <v>2</v>
      </c>
      <c r="P236" t="s">
        <v>187</v>
      </c>
      <c r="Q236">
        <v>33.352767877910999</v>
      </c>
      <c r="R236">
        <v>-111.911872919608</v>
      </c>
    </row>
    <row r="237" spans="1:18" x14ac:dyDescent="0.3">
      <c r="A237" t="s">
        <v>292</v>
      </c>
      <c r="B237">
        <v>85388</v>
      </c>
      <c r="C237" t="s">
        <v>240</v>
      </c>
      <c r="D237" t="s">
        <v>182</v>
      </c>
      <c r="E237" t="s">
        <v>22</v>
      </c>
      <c r="F237" t="s">
        <v>183</v>
      </c>
      <c r="J237" t="s">
        <v>24</v>
      </c>
      <c r="K237">
        <v>2012</v>
      </c>
      <c r="L237" t="s">
        <v>37</v>
      </c>
      <c r="M237">
        <v>1767</v>
      </c>
      <c r="N237">
        <v>3</v>
      </c>
      <c r="O237">
        <v>2</v>
      </c>
      <c r="P237" t="s">
        <v>187</v>
      </c>
      <c r="Q237">
        <v>33.626461030740998</v>
      </c>
      <c r="R237">
        <v>-112.442413276267</v>
      </c>
    </row>
    <row r="238" spans="1:18" x14ac:dyDescent="0.3">
      <c r="A238" t="s">
        <v>293</v>
      </c>
      <c r="B238">
        <v>85226</v>
      </c>
      <c r="C238" t="s">
        <v>181</v>
      </c>
      <c r="D238" t="s">
        <v>182</v>
      </c>
      <c r="E238" t="s">
        <v>22</v>
      </c>
      <c r="F238" t="s">
        <v>183</v>
      </c>
      <c r="J238" t="s">
        <v>24</v>
      </c>
      <c r="K238">
        <v>1983</v>
      </c>
      <c r="L238" t="s">
        <v>37</v>
      </c>
      <c r="M238">
        <v>1370</v>
      </c>
      <c r="N238">
        <v>3</v>
      </c>
      <c r="O238">
        <v>2</v>
      </c>
      <c r="P238" t="s">
        <v>187</v>
      </c>
      <c r="Q238">
        <v>33.299034178862001</v>
      </c>
      <c r="R238">
        <v>-111.943054186154</v>
      </c>
    </row>
    <row r="239" spans="1:18" x14ac:dyDescent="0.3">
      <c r="A239" t="s">
        <v>294</v>
      </c>
      <c r="B239">
        <v>85225</v>
      </c>
      <c r="C239" t="s">
        <v>181</v>
      </c>
      <c r="D239" t="s">
        <v>182</v>
      </c>
      <c r="E239" t="s">
        <v>22</v>
      </c>
      <c r="F239" t="s">
        <v>183</v>
      </c>
      <c r="J239" t="s">
        <v>24</v>
      </c>
      <c r="K239">
        <v>1994</v>
      </c>
      <c r="L239" t="s">
        <v>37</v>
      </c>
      <c r="M239">
        <v>1501</v>
      </c>
      <c r="N239">
        <v>3</v>
      </c>
      <c r="O239">
        <v>2</v>
      </c>
      <c r="P239" t="s">
        <v>187</v>
      </c>
      <c r="Q239">
        <v>33.323791554814001</v>
      </c>
      <c r="R239">
        <v>-111.810256928117</v>
      </c>
    </row>
    <row r="240" spans="1:18" x14ac:dyDescent="0.3">
      <c r="A240" t="s">
        <v>295</v>
      </c>
      <c r="B240">
        <v>85282</v>
      </c>
      <c r="C240" t="s">
        <v>189</v>
      </c>
      <c r="D240" t="s">
        <v>182</v>
      </c>
      <c r="E240" t="s">
        <v>22</v>
      </c>
      <c r="F240" t="s">
        <v>183</v>
      </c>
      <c r="J240" t="s">
        <v>24</v>
      </c>
      <c r="K240">
        <v>1961</v>
      </c>
      <c r="L240" t="s">
        <v>37</v>
      </c>
      <c r="M240">
        <v>1123</v>
      </c>
      <c r="N240">
        <v>2</v>
      </c>
      <c r="O240">
        <v>2</v>
      </c>
      <c r="P240" t="s">
        <v>190</v>
      </c>
      <c r="Q240">
        <v>33.405067517145</v>
      </c>
      <c r="R240">
        <v>-111.90696715931701</v>
      </c>
    </row>
    <row r="241" spans="1:18" x14ac:dyDescent="0.3">
      <c r="A241" t="s">
        <v>296</v>
      </c>
      <c r="B241">
        <v>85338</v>
      </c>
      <c r="C241" t="s">
        <v>242</v>
      </c>
      <c r="D241" t="s">
        <v>182</v>
      </c>
      <c r="E241" t="s">
        <v>22</v>
      </c>
      <c r="F241" t="s">
        <v>183</v>
      </c>
      <c r="J241" t="s">
        <v>24</v>
      </c>
      <c r="K241">
        <v>1998</v>
      </c>
      <c r="L241" t="s">
        <v>37</v>
      </c>
      <c r="M241">
        <v>1450</v>
      </c>
      <c r="N241">
        <v>2</v>
      </c>
      <c r="O241">
        <v>2</v>
      </c>
      <c r="P241" t="s">
        <v>194</v>
      </c>
      <c r="Q241">
        <v>33.355548909565002</v>
      </c>
      <c r="R241">
        <v>-112.44651035054</v>
      </c>
    </row>
    <row r="242" spans="1:18" x14ac:dyDescent="0.3">
      <c r="A242" t="s">
        <v>297</v>
      </c>
      <c r="B242">
        <v>85281</v>
      </c>
      <c r="C242" t="s">
        <v>189</v>
      </c>
      <c r="D242" t="s">
        <v>182</v>
      </c>
      <c r="E242" t="s">
        <v>22</v>
      </c>
      <c r="F242" t="s">
        <v>183</v>
      </c>
      <c r="H242" t="s">
        <v>298</v>
      </c>
      <c r="J242" t="s">
        <v>24</v>
      </c>
      <c r="K242">
        <v>1978</v>
      </c>
      <c r="L242" t="s">
        <v>27</v>
      </c>
      <c r="M242">
        <v>1207</v>
      </c>
      <c r="N242">
        <v>3</v>
      </c>
      <c r="O242">
        <v>2</v>
      </c>
      <c r="P242" t="s">
        <v>190</v>
      </c>
      <c r="Q242">
        <v>33.420146938142999</v>
      </c>
      <c r="R242">
        <v>-111.906379671724</v>
      </c>
    </row>
    <row r="243" spans="1:18" x14ac:dyDescent="0.3">
      <c r="A243" t="s">
        <v>299</v>
      </c>
      <c r="B243">
        <v>85282</v>
      </c>
      <c r="C243" t="s">
        <v>189</v>
      </c>
      <c r="D243" t="s">
        <v>182</v>
      </c>
      <c r="E243" t="s">
        <v>22</v>
      </c>
      <c r="F243" t="s">
        <v>183</v>
      </c>
      <c r="J243" t="s">
        <v>24</v>
      </c>
      <c r="K243">
        <v>1969</v>
      </c>
      <c r="L243" t="s">
        <v>37</v>
      </c>
      <c r="M243">
        <v>1274</v>
      </c>
      <c r="N243">
        <v>3</v>
      </c>
      <c r="O243">
        <v>2</v>
      </c>
      <c r="P243" t="s">
        <v>190</v>
      </c>
      <c r="Q243">
        <v>33.396667425239997</v>
      </c>
      <c r="R243">
        <v>-111.90299983690601</v>
      </c>
    </row>
    <row r="244" spans="1:18" x14ac:dyDescent="0.3">
      <c r="A244" t="s">
        <v>300</v>
      </c>
      <c r="B244">
        <v>85295</v>
      </c>
      <c r="C244" t="s">
        <v>201</v>
      </c>
      <c r="D244" t="s">
        <v>182</v>
      </c>
      <c r="E244" t="s">
        <v>22</v>
      </c>
      <c r="F244" t="s">
        <v>183</v>
      </c>
      <c r="J244" t="s">
        <v>24</v>
      </c>
      <c r="K244">
        <v>2004</v>
      </c>
      <c r="L244" t="s">
        <v>37</v>
      </c>
      <c r="M244">
        <v>1065</v>
      </c>
      <c r="N244">
        <v>2</v>
      </c>
      <c r="O244">
        <v>2.5</v>
      </c>
      <c r="Q244">
        <v>33.317665096055002</v>
      </c>
      <c r="R244">
        <v>-111.748352046939</v>
      </c>
    </row>
    <row r="245" spans="1:18" x14ac:dyDescent="0.3">
      <c r="A245" t="s">
        <v>301</v>
      </c>
      <c r="B245">
        <v>85225</v>
      </c>
      <c r="C245" t="s">
        <v>181</v>
      </c>
      <c r="D245" t="s">
        <v>182</v>
      </c>
      <c r="E245" t="s">
        <v>22</v>
      </c>
      <c r="F245" t="s">
        <v>183</v>
      </c>
      <c r="J245" t="s">
        <v>24</v>
      </c>
      <c r="K245">
        <v>1983</v>
      </c>
      <c r="L245" t="s">
        <v>37</v>
      </c>
      <c r="M245">
        <v>1267</v>
      </c>
      <c r="N245">
        <v>2</v>
      </c>
      <c r="O245">
        <v>2</v>
      </c>
      <c r="P245" t="s">
        <v>187</v>
      </c>
      <c r="Q245">
        <v>33.333038302759</v>
      </c>
      <c r="R245">
        <v>-111.849983293493</v>
      </c>
    </row>
    <row r="246" spans="1:18" x14ac:dyDescent="0.3">
      <c r="A246" t="s">
        <v>302</v>
      </c>
      <c r="B246">
        <v>85282</v>
      </c>
      <c r="C246" t="s">
        <v>189</v>
      </c>
      <c r="D246" t="s">
        <v>182</v>
      </c>
      <c r="E246" t="s">
        <v>22</v>
      </c>
      <c r="F246" t="s">
        <v>183</v>
      </c>
      <c r="J246" t="s">
        <v>24</v>
      </c>
      <c r="K246">
        <v>1971</v>
      </c>
      <c r="L246" t="s">
        <v>37</v>
      </c>
      <c r="M246">
        <v>1328</v>
      </c>
      <c r="N246">
        <v>3</v>
      </c>
      <c r="O246">
        <v>2</v>
      </c>
      <c r="P246" t="s">
        <v>187</v>
      </c>
      <c r="Q246">
        <v>33.381710086661002</v>
      </c>
      <c r="R246">
        <v>-111.902786266013</v>
      </c>
    </row>
    <row r="247" spans="1:18" x14ac:dyDescent="0.3">
      <c r="A247" t="s">
        <v>303</v>
      </c>
      <c r="B247">
        <v>85225</v>
      </c>
      <c r="C247" t="s">
        <v>181</v>
      </c>
      <c r="D247" t="s">
        <v>182</v>
      </c>
      <c r="E247" t="s">
        <v>22</v>
      </c>
      <c r="F247" t="s">
        <v>183</v>
      </c>
      <c r="J247" t="s">
        <v>24</v>
      </c>
      <c r="K247">
        <v>1983</v>
      </c>
      <c r="L247" t="s">
        <v>37</v>
      </c>
      <c r="M247">
        <v>1070</v>
      </c>
      <c r="N247">
        <v>2</v>
      </c>
      <c r="O247">
        <v>2</v>
      </c>
      <c r="P247" t="s">
        <v>187</v>
      </c>
      <c r="Q247">
        <v>33.333324460934001</v>
      </c>
      <c r="R247">
        <v>-111.849929733132</v>
      </c>
    </row>
    <row r="248" spans="1:18" x14ac:dyDescent="0.3">
      <c r="A248" t="s">
        <v>304</v>
      </c>
      <c r="B248">
        <v>85283</v>
      </c>
      <c r="C248" t="s">
        <v>189</v>
      </c>
      <c r="D248" t="s">
        <v>182</v>
      </c>
      <c r="E248" t="s">
        <v>22</v>
      </c>
      <c r="F248" t="s">
        <v>183</v>
      </c>
      <c r="J248" t="s">
        <v>24</v>
      </c>
      <c r="K248">
        <v>1973</v>
      </c>
      <c r="L248" t="s">
        <v>27</v>
      </c>
      <c r="M248">
        <v>1148</v>
      </c>
      <c r="N248">
        <v>2</v>
      </c>
      <c r="O248">
        <v>1</v>
      </c>
      <c r="P248" t="s">
        <v>190</v>
      </c>
      <c r="Q248">
        <v>33.374446832284001</v>
      </c>
      <c r="R248">
        <v>-111.900970494329</v>
      </c>
    </row>
    <row r="249" spans="1:18" x14ac:dyDescent="0.3">
      <c r="A249" t="s">
        <v>305</v>
      </c>
      <c r="B249">
        <v>85282</v>
      </c>
      <c r="C249" t="s">
        <v>189</v>
      </c>
      <c r="D249" t="s">
        <v>182</v>
      </c>
      <c r="E249" t="s">
        <v>22</v>
      </c>
      <c r="F249" t="s">
        <v>183</v>
      </c>
      <c r="J249" t="s">
        <v>24</v>
      </c>
      <c r="K249">
        <v>1971</v>
      </c>
      <c r="L249" t="s">
        <v>37</v>
      </c>
      <c r="M249">
        <v>1288</v>
      </c>
      <c r="N249">
        <v>3</v>
      </c>
      <c r="O249">
        <v>1.5</v>
      </c>
      <c r="P249" t="s">
        <v>190</v>
      </c>
      <c r="Q249">
        <v>33.382507373290998</v>
      </c>
      <c r="R249">
        <v>-111.901519760444</v>
      </c>
    </row>
    <row r="250" spans="1:18" x14ac:dyDescent="0.3">
      <c r="A250" t="s">
        <v>306</v>
      </c>
      <c r="B250">
        <v>85295</v>
      </c>
      <c r="C250" t="s">
        <v>201</v>
      </c>
      <c r="D250" t="s">
        <v>182</v>
      </c>
      <c r="E250" t="s">
        <v>22</v>
      </c>
      <c r="F250" t="s">
        <v>183</v>
      </c>
      <c r="J250" t="s">
        <v>24</v>
      </c>
      <c r="K250">
        <v>2005</v>
      </c>
      <c r="L250" t="s">
        <v>37</v>
      </c>
      <c r="M250">
        <v>1132</v>
      </c>
      <c r="N250">
        <v>2</v>
      </c>
      <c r="O250">
        <v>2.5</v>
      </c>
      <c r="P250" t="s">
        <v>187</v>
      </c>
      <c r="Q250">
        <v>33.316726616266003</v>
      </c>
      <c r="R250">
        <v>-111.74729927990001</v>
      </c>
    </row>
    <row r="251" spans="1:18" x14ac:dyDescent="0.3">
      <c r="A251" t="s">
        <v>307</v>
      </c>
      <c r="B251">
        <v>85224</v>
      </c>
      <c r="C251" t="s">
        <v>181</v>
      </c>
      <c r="D251" t="s">
        <v>182</v>
      </c>
      <c r="E251" t="s">
        <v>22</v>
      </c>
      <c r="F251" t="s">
        <v>183</v>
      </c>
      <c r="J251" t="s">
        <v>24</v>
      </c>
      <c r="K251">
        <v>1979</v>
      </c>
      <c r="L251" t="s">
        <v>37</v>
      </c>
      <c r="M251">
        <v>1104</v>
      </c>
      <c r="N251">
        <v>3</v>
      </c>
      <c r="O251">
        <v>2</v>
      </c>
      <c r="P251" t="s">
        <v>190</v>
      </c>
      <c r="Q251">
        <v>33.356033257839997</v>
      </c>
      <c r="R251">
        <v>-111.877731332498</v>
      </c>
    </row>
    <row r="252" spans="1:18" x14ac:dyDescent="0.3">
      <c r="A252" t="s">
        <v>308</v>
      </c>
      <c r="B252">
        <v>85257</v>
      </c>
      <c r="C252" t="s">
        <v>309</v>
      </c>
      <c r="D252" t="s">
        <v>182</v>
      </c>
      <c r="E252" t="s">
        <v>22</v>
      </c>
      <c r="F252" t="s">
        <v>183</v>
      </c>
      <c r="J252" t="s">
        <v>24</v>
      </c>
      <c r="K252">
        <v>1958</v>
      </c>
      <c r="L252" t="s">
        <v>37</v>
      </c>
      <c r="M252">
        <v>1711</v>
      </c>
      <c r="N252">
        <v>3</v>
      </c>
      <c r="O252">
        <v>2</v>
      </c>
      <c r="P252" t="s">
        <v>198</v>
      </c>
      <c r="Q252">
        <v>33.470127095221997</v>
      </c>
      <c r="R252">
        <v>-111.934783846109</v>
      </c>
    </row>
    <row r="253" spans="1:18" x14ac:dyDescent="0.3">
      <c r="A253" t="s">
        <v>310</v>
      </c>
      <c r="B253">
        <v>85282</v>
      </c>
      <c r="C253" t="s">
        <v>189</v>
      </c>
      <c r="D253" t="s">
        <v>182</v>
      </c>
      <c r="E253" t="s">
        <v>22</v>
      </c>
      <c r="F253" t="s">
        <v>183</v>
      </c>
      <c r="J253" t="s">
        <v>24</v>
      </c>
      <c r="K253">
        <v>1978</v>
      </c>
      <c r="L253" t="s">
        <v>37</v>
      </c>
      <c r="M253">
        <v>927</v>
      </c>
      <c r="N253">
        <v>2</v>
      </c>
      <c r="O253">
        <v>1</v>
      </c>
      <c r="P253" t="s">
        <v>194</v>
      </c>
      <c r="Q253">
        <v>33.386844630999001</v>
      </c>
      <c r="R253">
        <v>-111.970405593501</v>
      </c>
    </row>
    <row r="254" spans="1:18" x14ac:dyDescent="0.3">
      <c r="A254" t="s">
        <v>311</v>
      </c>
      <c r="B254">
        <v>85225</v>
      </c>
      <c r="C254" t="s">
        <v>181</v>
      </c>
      <c r="D254" t="s">
        <v>182</v>
      </c>
      <c r="E254" t="s">
        <v>22</v>
      </c>
      <c r="F254" t="s">
        <v>183</v>
      </c>
      <c r="J254" t="s">
        <v>24</v>
      </c>
      <c r="K254">
        <v>1996</v>
      </c>
      <c r="L254" t="s">
        <v>37</v>
      </c>
      <c r="M254">
        <v>1565</v>
      </c>
      <c r="N254">
        <v>3</v>
      </c>
      <c r="O254">
        <v>2</v>
      </c>
      <c r="P254" t="s">
        <v>187</v>
      </c>
      <c r="Q254">
        <v>33.300354035245</v>
      </c>
      <c r="R254">
        <v>-111.826675400057</v>
      </c>
    </row>
    <row r="255" spans="1:18" x14ac:dyDescent="0.3">
      <c r="A255" t="s">
        <v>312</v>
      </c>
      <c r="B255">
        <v>85282</v>
      </c>
      <c r="C255" t="s">
        <v>189</v>
      </c>
      <c r="D255" t="s">
        <v>182</v>
      </c>
      <c r="E255" t="s">
        <v>22</v>
      </c>
      <c r="F255" t="s">
        <v>183</v>
      </c>
      <c r="J255" t="s">
        <v>24</v>
      </c>
      <c r="K255">
        <v>1972</v>
      </c>
      <c r="L255" t="s">
        <v>37</v>
      </c>
      <c r="M255">
        <v>1224</v>
      </c>
      <c r="N255">
        <v>3</v>
      </c>
      <c r="O255">
        <v>2</v>
      </c>
      <c r="P255" t="s">
        <v>187</v>
      </c>
      <c r="Q255">
        <v>33.381725299815002</v>
      </c>
      <c r="R255">
        <v>-111.89782711300001</v>
      </c>
    </row>
    <row r="256" spans="1:18" x14ac:dyDescent="0.3">
      <c r="A256" s="4" t="s">
        <v>313</v>
      </c>
      <c r="B256">
        <v>85142</v>
      </c>
      <c r="C256" t="s">
        <v>314</v>
      </c>
      <c r="E256" t="s">
        <v>22</v>
      </c>
      <c r="F256" t="s">
        <v>183</v>
      </c>
      <c r="J256" t="s">
        <v>24</v>
      </c>
      <c r="K256">
        <v>2014</v>
      </c>
      <c r="L256" t="s">
        <v>37</v>
      </c>
      <c r="M256">
        <v>1496</v>
      </c>
      <c r="N256">
        <v>3</v>
      </c>
      <c r="O256">
        <v>2</v>
      </c>
      <c r="P256" t="s">
        <v>187</v>
      </c>
      <c r="Q256">
        <v>33.233219056033001</v>
      </c>
      <c r="R256">
        <v>-111.624778738071</v>
      </c>
    </row>
    <row r="257" spans="1:18" x14ac:dyDescent="0.3">
      <c r="A257" t="s">
        <v>315</v>
      </c>
      <c r="B257">
        <v>85142</v>
      </c>
      <c r="C257" t="s">
        <v>314</v>
      </c>
      <c r="E257" t="s">
        <v>22</v>
      </c>
      <c r="F257" t="s">
        <v>183</v>
      </c>
      <c r="J257" t="s">
        <v>24</v>
      </c>
      <c r="K257">
        <v>2001</v>
      </c>
      <c r="L257" t="s">
        <v>37</v>
      </c>
      <c r="M257">
        <v>1268</v>
      </c>
      <c r="N257">
        <v>3</v>
      </c>
      <c r="O257">
        <v>2</v>
      </c>
      <c r="Q257">
        <v>33.261669121338997</v>
      </c>
      <c r="R257">
        <v>-111.624427787785</v>
      </c>
    </row>
    <row r="258" spans="1:18" x14ac:dyDescent="0.3">
      <c r="A258" t="s">
        <v>316</v>
      </c>
      <c r="B258">
        <v>85282</v>
      </c>
      <c r="C258" t="s">
        <v>189</v>
      </c>
      <c r="D258" t="s">
        <v>182</v>
      </c>
      <c r="E258" t="s">
        <v>22</v>
      </c>
      <c r="F258" t="s">
        <v>183</v>
      </c>
      <c r="J258" t="s">
        <v>24</v>
      </c>
      <c r="K258">
        <v>1960</v>
      </c>
      <c r="L258" t="s">
        <v>37</v>
      </c>
      <c r="M258">
        <v>1260</v>
      </c>
      <c r="N258">
        <v>3</v>
      </c>
      <c r="O258">
        <v>2</v>
      </c>
      <c r="P258" t="s">
        <v>194</v>
      </c>
      <c r="Q258">
        <v>33.398120805341001</v>
      </c>
      <c r="R258">
        <v>-111.93636324812501</v>
      </c>
    </row>
    <row r="259" spans="1:18" x14ac:dyDescent="0.3">
      <c r="A259" t="s">
        <v>317</v>
      </c>
      <c r="B259">
        <v>85282</v>
      </c>
      <c r="C259" t="s">
        <v>189</v>
      </c>
      <c r="D259" t="s">
        <v>182</v>
      </c>
      <c r="E259" t="s">
        <v>22</v>
      </c>
      <c r="F259" t="s">
        <v>183</v>
      </c>
      <c r="J259" t="s">
        <v>24</v>
      </c>
      <c r="K259">
        <v>1970</v>
      </c>
      <c r="L259" t="s">
        <v>37</v>
      </c>
      <c r="M259">
        <v>1330</v>
      </c>
      <c r="N259">
        <v>3</v>
      </c>
      <c r="O259">
        <v>2</v>
      </c>
      <c r="P259" t="s">
        <v>187</v>
      </c>
      <c r="Q259">
        <v>33.404693600443998</v>
      </c>
      <c r="R259">
        <v>-111.892746003295</v>
      </c>
    </row>
    <row r="260" spans="1:18" x14ac:dyDescent="0.3">
      <c r="A260" t="s">
        <v>318</v>
      </c>
      <c r="B260">
        <v>85282</v>
      </c>
      <c r="C260" t="s">
        <v>189</v>
      </c>
      <c r="D260" t="s">
        <v>182</v>
      </c>
      <c r="E260" t="s">
        <v>22</v>
      </c>
      <c r="F260" t="s">
        <v>183</v>
      </c>
      <c r="J260" t="s">
        <v>24</v>
      </c>
      <c r="K260">
        <v>1972</v>
      </c>
      <c r="L260" t="s">
        <v>37</v>
      </c>
      <c r="M260">
        <v>1365</v>
      </c>
      <c r="N260">
        <v>3</v>
      </c>
      <c r="O260">
        <v>2</v>
      </c>
      <c r="P260" t="s">
        <v>198</v>
      </c>
      <c r="Q260">
        <v>33.383491450633997</v>
      </c>
      <c r="R260">
        <v>-111.893402138675</v>
      </c>
    </row>
    <row r="261" spans="1:18" x14ac:dyDescent="0.3">
      <c r="A261" t="s">
        <v>319</v>
      </c>
      <c r="B261">
        <v>85395</v>
      </c>
      <c r="C261" t="s">
        <v>242</v>
      </c>
      <c r="D261" t="s">
        <v>182</v>
      </c>
      <c r="E261" t="s">
        <v>22</v>
      </c>
      <c r="F261" t="s">
        <v>183</v>
      </c>
      <c r="J261" t="s">
        <v>24</v>
      </c>
      <c r="K261">
        <v>2005</v>
      </c>
      <c r="L261" t="s">
        <v>37</v>
      </c>
      <c r="M261">
        <v>2064</v>
      </c>
      <c r="N261">
        <v>3</v>
      </c>
      <c r="O261">
        <v>2.5</v>
      </c>
      <c r="Q261">
        <v>33.470935739330002</v>
      </c>
      <c r="R261">
        <v>-112.35028073766701</v>
      </c>
    </row>
    <row r="262" spans="1:18" x14ac:dyDescent="0.3">
      <c r="A262" t="s">
        <v>320</v>
      </c>
      <c r="B262">
        <v>85142</v>
      </c>
      <c r="C262" t="s">
        <v>314</v>
      </c>
      <c r="E262" t="s">
        <v>22</v>
      </c>
      <c r="F262" t="s">
        <v>183</v>
      </c>
      <c r="J262" t="s">
        <v>24</v>
      </c>
      <c r="K262">
        <v>2006</v>
      </c>
      <c r="L262" t="s">
        <v>37</v>
      </c>
      <c r="M262">
        <v>1320</v>
      </c>
      <c r="N262">
        <v>3</v>
      </c>
      <c r="O262">
        <v>2</v>
      </c>
      <c r="Q262">
        <v>33.239650699887001</v>
      </c>
      <c r="R262">
        <v>-111.613288825198</v>
      </c>
    </row>
    <row r="263" spans="1:18" x14ac:dyDescent="0.3">
      <c r="A263" t="s">
        <v>321</v>
      </c>
      <c r="B263">
        <v>85224</v>
      </c>
      <c r="C263" t="s">
        <v>181</v>
      </c>
      <c r="D263" t="s">
        <v>182</v>
      </c>
      <c r="E263" t="s">
        <v>22</v>
      </c>
      <c r="F263" t="s">
        <v>183</v>
      </c>
      <c r="J263" t="s">
        <v>24</v>
      </c>
      <c r="K263">
        <v>1983</v>
      </c>
      <c r="L263" t="s">
        <v>37</v>
      </c>
      <c r="M263">
        <v>1289</v>
      </c>
      <c r="N263">
        <v>3</v>
      </c>
      <c r="O263">
        <v>2</v>
      </c>
      <c r="P263" t="s">
        <v>187</v>
      </c>
      <c r="Q263">
        <v>33.326046077221001</v>
      </c>
      <c r="R263">
        <v>-111.88083657616799</v>
      </c>
    </row>
    <row r="264" spans="1:18" x14ac:dyDescent="0.3">
      <c r="A264" t="s">
        <v>322</v>
      </c>
      <c r="B264">
        <v>85282</v>
      </c>
      <c r="C264" t="s">
        <v>189</v>
      </c>
      <c r="D264" t="s">
        <v>182</v>
      </c>
      <c r="E264" t="s">
        <v>22</v>
      </c>
      <c r="F264" t="s">
        <v>183</v>
      </c>
      <c r="J264" t="s">
        <v>24</v>
      </c>
      <c r="K264">
        <v>1978</v>
      </c>
      <c r="L264" t="s">
        <v>37</v>
      </c>
      <c r="M264">
        <v>1123</v>
      </c>
      <c r="N264">
        <v>3</v>
      </c>
      <c r="O264">
        <v>2</v>
      </c>
      <c r="P264" t="s">
        <v>190</v>
      </c>
      <c r="Q264">
        <v>33.385715462912998</v>
      </c>
      <c r="R264">
        <v>-111.972137462335</v>
      </c>
    </row>
    <row r="265" spans="1:18" x14ac:dyDescent="0.3">
      <c r="A265" t="s">
        <v>323</v>
      </c>
      <c r="B265">
        <v>85142</v>
      </c>
      <c r="C265" t="s">
        <v>314</v>
      </c>
      <c r="E265" t="s">
        <v>22</v>
      </c>
      <c r="F265" t="s">
        <v>183</v>
      </c>
      <c r="J265" t="s">
        <v>24</v>
      </c>
      <c r="K265">
        <v>2006</v>
      </c>
      <c r="L265" t="s">
        <v>37</v>
      </c>
      <c r="M265">
        <v>1765</v>
      </c>
      <c r="N265">
        <v>4</v>
      </c>
      <c r="O265">
        <v>2</v>
      </c>
      <c r="P265" t="s">
        <v>187</v>
      </c>
      <c r="Q265">
        <v>33.238254568184999</v>
      </c>
      <c r="R265">
        <v>-111.60719291847499</v>
      </c>
    </row>
    <row r="266" spans="1:18" x14ac:dyDescent="0.3">
      <c r="A266" t="s">
        <v>324</v>
      </c>
      <c r="B266">
        <v>85224</v>
      </c>
      <c r="C266" t="s">
        <v>181</v>
      </c>
      <c r="D266" t="s">
        <v>182</v>
      </c>
      <c r="E266" t="s">
        <v>22</v>
      </c>
      <c r="F266" t="s">
        <v>183</v>
      </c>
      <c r="J266" t="s">
        <v>24</v>
      </c>
      <c r="K266">
        <v>1979</v>
      </c>
      <c r="L266" t="s">
        <v>37</v>
      </c>
      <c r="M266">
        <v>1106</v>
      </c>
      <c r="N266">
        <v>3</v>
      </c>
      <c r="O266">
        <v>2</v>
      </c>
      <c r="P266" t="s">
        <v>190</v>
      </c>
      <c r="Q266">
        <v>33.350097655016</v>
      </c>
      <c r="R266">
        <v>-111.883964534795</v>
      </c>
    </row>
    <row r="267" spans="1:18" x14ac:dyDescent="0.3">
      <c r="A267" t="s">
        <v>325</v>
      </c>
      <c r="B267">
        <v>85008</v>
      </c>
      <c r="C267" t="s">
        <v>225</v>
      </c>
      <c r="D267" t="s">
        <v>182</v>
      </c>
      <c r="E267" t="s">
        <v>22</v>
      </c>
      <c r="F267" t="s">
        <v>183</v>
      </c>
      <c r="J267" t="s">
        <v>24</v>
      </c>
      <c r="K267">
        <v>1954</v>
      </c>
      <c r="L267" t="s">
        <v>37</v>
      </c>
      <c r="M267">
        <v>1453</v>
      </c>
      <c r="N267">
        <v>3</v>
      </c>
      <c r="O267">
        <v>2</v>
      </c>
      <c r="P267" t="s">
        <v>190</v>
      </c>
      <c r="Q267">
        <v>33.473709143453</v>
      </c>
      <c r="R267">
        <v>-112.00036628730599</v>
      </c>
    </row>
    <row r="268" spans="1:18" x14ac:dyDescent="0.3">
      <c r="A268" t="s">
        <v>326</v>
      </c>
      <c r="B268">
        <v>85040</v>
      </c>
      <c r="C268" t="s">
        <v>225</v>
      </c>
      <c r="D268" t="s">
        <v>182</v>
      </c>
      <c r="E268" t="s">
        <v>22</v>
      </c>
      <c r="F268" t="s">
        <v>183</v>
      </c>
      <c r="J268" t="s">
        <v>24</v>
      </c>
      <c r="K268">
        <v>2006</v>
      </c>
      <c r="L268" t="s">
        <v>37</v>
      </c>
      <c r="M268">
        <v>1941</v>
      </c>
      <c r="N268">
        <v>3</v>
      </c>
      <c r="O268">
        <v>2.5</v>
      </c>
      <c r="Q268">
        <v>33.394958439001002</v>
      </c>
      <c r="R268">
        <v>-112.031692560777</v>
      </c>
    </row>
    <row r="269" spans="1:18" x14ac:dyDescent="0.3">
      <c r="A269" t="s">
        <v>327</v>
      </c>
      <c r="B269">
        <v>85282</v>
      </c>
      <c r="C269" t="s">
        <v>189</v>
      </c>
      <c r="D269" t="s">
        <v>182</v>
      </c>
      <c r="E269" t="s">
        <v>22</v>
      </c>
      <c r="F269" t="s">
        <v>183</v>
      </c>
      <c r="J269" t="s">
        <v>24</v>
      </c>
      <c r="K269">
        <v>1978</v>
      </c>
      <c r="L269" t="s">
        <v>37</v>
      </c>
      <c r="M269">
        <v>1458</v>
      </c>
      <c r="N269">
        <v>3</v>
      </c>
      <c r="O269">
        <v>2</v>
      </c>
      <c r="P269" t="s">
        <v>190</v>
      </c>
      <c r="Q269">
        <v>33.386486053181002</v>
      </c>
      <c r="R269">
        <v>-111.97521973958899</v>
      </c>
    </row>
    <row r="270" spans="1:18" x14ac:dyDescent="0.3">
      <c r="A270" t="s">
        <v>328</v>
      </c>
      <c r="B270">
        <v>85016</v>
      </c>
      <c r="C270" t="s">
        <v>225</v>
      </c>
      <c r="D270" t="s">
        <v>182</v>
      </c>
      <c r="E270" t="s">
        <v>22</v>
      </c>
      <c r="F270" t="s">
        <v>183</v>
      </c>
      <c r="J270" t="s">
        <v>24</v>
      </c>
      <c r="K270">
        <v>1950</v>
      </c>
      <c r="L270" t="s">
        <v>37</v>
      </c>
      <c r="M270">
        <v>1066</v>
      </c>
      <c r="N270">
        <v>3</v>
      </c>
      <c r="O270">
        <v>1</v>
      </c>
      <c r="P270" t="s">
        <v>190</v>
      </c>
      <c r="Q270">
        <v>33.492176110620001</v>
      </c>
      <c r="R270">
        <v>-112.02770235577</v>
      </c>
    </row>
    <row r="271" spans="1:18" x14ac:dyDescent="0.3">
      <c r="A271" t="s">
        <v>329</v>
      </c>
      <c r="B271">
        <v>85282</v>
      </c>
      <c r="C271" t="s">
        <v>189</v>
      </c>
      <c r="D271" t="s">
        <v>182</v>
      </c>
      <c r="E271" t="s">
        <v>22</v>
      </c>
      <c r="F271" t="s">
        <v>183</v>
      </c>
      <c r="J271" t="s">
        <v>24</v>
      </c>
      <c r="K271">
        <v>1975</v>
      </c>
      <c r="L271" t="s">
        <v>37</v>
      </c>
      <c r="M271">
        <v>1481</v>
      </c>
      <c r="N271">
        <v>3</v>
      </c>
      <c r="O271">
        <v>2</v>
      </c>
      <c r="P271" t="s">
        <v>190</v>
      </c>
      <c r="Q271">
        <v>33.382511103238002</v>
      </c>
      <c r="R271">
        <v>-111.975616455067</v>
      </c>
    </row>
    <row r="272" spans="1:18" x14ac:dyDescent="0.3">
      <c r="A272" t="s">
        <v>330</v>
      </c>
      <c r="B272">
        <v>85041</v>
      </c>
      <c r="C272" t="s">
        <v>225</v>
      </c>
      <c r="D272" t="s">
        <v>182</v>
      </c>
      <c r="E272" t="s">
        <v>22</v>
      </c>
      <c r="F272" t="s">
        <v>183</v>
      </c>
      <c r="J272" t="s">
        <v>24</v>
      </c>
      <c r="K272">
        <v>2022</v>
      </c>
      <c r="L272" t="s">
        <v>37</v>
      </c>
      <c r="M272">
        <v>1400</v>
      </c>
      <c r="N272">
        <v>3</v>
      </c>
      <c r="O272">
        <v>2</v>
      </c>
      <c r="Q272">
        <v>33.394142209270001</v>
      </c>
      <c r="R272">
        <v>-112.112907335215</v>
      </c>
    </row>
    <row r="273" spans="1:18" x14ac:dyDescent="0.3">
      <c r="A273" t="s">
        <v>331</v>
      </c>
      <c r="B273">
        <v>85282</v>
      </c>
      <c r="C273" t="s">
        <v>189</v>
      </c>
      <c r="D273" t="s">
        <v>182</v>
      </c>
      <c r="E273" t="s">
        <v>22</v>
      </c>
      <c r="F273" t="s">
        <v>183</v>
      </c>
      <c r="J273" t="s">
        <v>24</v>
      </c>
      <c r="K273">
        <v>1976</v>
      </c>
      <c r="L273" t="s">
        <v>37</v>
      </c>
      <c r="M273">
        <v>1099</v>
      </c>
      <c r="N273">
        <v>3</v>
      </c>
      <c r="O273">
        <v>2</v>
      </c>
      <c r="P273" t="s">
        <v>194</v>
      </c>
      <c r="Q273">
        <v>33.382564537870998</v>
      </c>
      <c r="R273">
        <v>-111.975898673747</v>
      </c>
    </row>
    <row r="274" spans="1:18" x14ac:dyDescent="0.3">
      <c r="A274" t="s">
        <v>332</v>
      </c>
      <c r="B274">
        <v>85225</v>
      </c>
      <c r="C274" t="s">
        <v>181</v>
      </c>
      <c r="D274" t="s">
        <v>182</v>
      </c>
      <c r="E274" t="s">
        <v>22</v>
      </c>
      <c r="F274" t="s">
        <v>183</v>
      </c>
      <c r="J274" t="s">
        <v>24</v>
      </c>
      <c r="K274">
        <v>1948</v>
      </c>
      <c r="L274" t="s">
        <v>37</v>
      </c>
      <c r="M274">
        <v>1462</v>
      </c>
      <c r="N274">
        <v>2</v>
      </c>
      <c r="O274">
        <v>1</v>
      </c>
      <c r="Q274">
        <v>33.312442751280997</v>
      </c>
      <c r="R274">
        <v>-111.847587577928</v>
      </c>
    </row>
    <row r="275" spans="1:18" x14ac:dyDescent="0.3">
      <c r="A275" t="s">
        <v>333</v>
      </c>
      <c r="B275">
        <v>85225</v>
      </c>
      <c r="C275" t="s">
        <v>181</v>
      </c>
      <c r="D275" t="s">
        <v>182</v>
      </c>
      <c r="E275" t="s">
        <v>22</v>
      </c>
      <c r="F275" t="s">
        <v>183</v>
      </c>
      <c r="J275" t="s">
        <v>24</v>
      </c>
      <c r="K275">
        <v>1948</v>
      </c>
      <c r="L275" t="s">
        <v>37</v>
      </c>
      <c r="M275">
        <v>959</v>
      </c>
      <c r="N275">
        <v>2</v>
      </c>
      <c r="O275">
        <v>1</v>
      </c>
      <c r="P275" t="s">
        <v>194</v>
      </c>
      <c r="Q275">
        <v>33.312496227822997</v>
      </c>
      <c r="R275">
        <v>-111.847587661747</v>
      </c>
    </row>
    <row r="276" spans="1:18" x14ac:dyDescent="0.3">
      <c r="A276" t="s">
        <v>334</v>
      </c>
      <c r="B276">
        <v>85282</v>
      </c>
      <c r="C276" t="s">
        <v>189</v>
      </c>
      <c r="D276" t="s">
        <v>182</v>
      </c>
      <c r="E276" t="s">
        <v>22</v>
      </c>
      <c r="F276" t="s">
        <v>183</v>
      </c>
      <c r="J276" t="s">
        <v>24</v>
      </c>
      <c r="K276">
        <v>1986</v>
      </c>
      <c r="L276" t="s">
        <v>37</v>
      </c>
      <c r="M276">
        <v>1485</v>
      </c>
      <c r="N276">
        <v>3</v>
      </c>
      <c r="O276">
        <v>2</v>
      </c>
      <c r="P276" t="s">
        <v>187</v>
      </c>
      <c r="Q276">
        <v>33.401699081716004</v>
      </c>
      <c r="R276">
        <v>-111.893684441174</v>
      </c>
    </row>
    <row r="277" spans="1:18" x14ac:dyDescent="0.3">
      <c r="A277" t="s">
        <v>335</v>
      </c>
      <c r="B277">
        <v>85224</v>
      </c>
      <c r="C277" t="s">
        <v>181</v>
      </c>
      <c r="D277" t="s">
        <v>182</v>
      </c>
      <c r="E277" t="s">
        <v>22</v>
      </c>
      <c r="F277" t="s">
        <v>183</v>
      </c>
      <c r="J277" t="s">
        <v>24</v>
      </c>
      <c r="K277">
        <v>1978</v>
      </c>
      <c r="L277" t="s">
        <v>37</v>
      </c>
      <c r="M277">
        <v>1462</v>
      </c>
      <c r="N277">
        <v>3</v>
      </c>
      <c r="O277">
        <v>2</v>
      </c>
      <c r="P277" t="s">
        <v>187</v>
      </c>
      <c r="Q277">
        <v>33.350246433796997</v>
      </c>
      <c r="R277">
        <v>-111.88930514822199</v>
      </c>
    </row>
    <row r="278" spans="1:18" x14ac:dyDescent="0.3">
      <c r="A278" t="s">
        <v>336</v>
      </c>
      <c r="B278">
        <v>85008</v>
      </c>
      <c r="C278" t="s">
        <v>225</v>
      </c>
      <c r="D278" t="s">
        <v>182</v>
      </c>
      <c r="E278" t="s">
        <v>22</v>
      </c>
      <c r="F278" t="s">
        <v>183</v>
      </c>
      <c r="J278" t="s">
        <v>24</v>
      </c>
      <c r="K278">
        <v>2002</v>
      </c>
      <c r="L278" t="s">
        <v>37</v>
      </c>
      <c r="M278">
        <v>1314</v>
      </c>
      <c r="N278">
        <v>3</v>
      </c>
      <c r="O278">
        <v>2</v>
      </c>
      <c r="Q278">
        <v>33.478553757759997</v>
      </c>
      <c r="R278">
        <v>-112.023155257117</v>
      </c>
    </row>
    <row r="279" spans="1:18" x14ac:dyDescent="0.3">
      <c r="A279" t="s">
        <v>337</v>
      </c>
      <c r="B279">
        <v>85224</v>
      </c>
      <c r="C279" t="s">
        <v>181</v>
      </c>
      <c r="D279" t="s">
        <v>182</v>
      </c>
      <c r="E279" t="s">
        <v>22</v>
      </c>
      <c r="F279" t="s">
        <v>183</v>
      </c>
      <c r="J279" t="s">
        <v>24</v>
      </c>
      <c r="K279">
        <v>1980</v>
      </c>
      <c r="L279" t="s">
        <v>37</v>
      </c>
      <c r="M279">
        <v>1355</v>
      </c>
      <c r="N279">
        <v>3</v>
      </c>
      <c r="O279">
        <v>2</v>
      </c>
      <c r="P279" t="s">
        <v>187</v>
      </c>
      <c r="Q279">
        <v>33.347408321381998</v>
      </c>
      <c r="R279">
        <v>-111.866081241456</v>
      </c>
    </row>
    <row r="280" spans="1:18" x14ac:dyDescent="0.3">
      <c r="A280" t="s">
        <v>338</v>
      </c>
      <c r="B280">
        <v>85225</v>
      </c>
      <c r="C280" t="s">
        <v>181</v>
      </c>
      <c r="D280" t="s">
        <v>182</v>
      </c>
      <c r="E280" t="s">
        <v>22</v>
      </c>
      <c r="F280" t="s">
        <v>183</v>
      </c>
      <c r="J280" t="s">
        <v>24</v>
      </c>
      <c r="K280">
        <v>1920</v>
      </c>
      <c r="L280" t="s">
        <v>37</v>
      </c>
      <c r="M280">
        <v>1159</v>
      </c>
      <c r="N280">
        <v>2</v>
      </c>
      <c r="O280">
        <v>1</v>
      </c>
      <c r="P280" t="s">
        <v>190</v>
      </c>
      <c r="Q280">
        <v>33.30753707481</v>
      </c>
      <c r="R280">
        <v>-111.840118464008</v>
      </c>
    </row>
    <row r="281" spans="1:18" x14ac:dyDescent="0.3">
      <c r="A281" t="s">
        <v>339</v>
      </c>
      <c r="B281">
        <v>85017</v>
      </c>
      <c r="C281" t="s">
        <v>225</v>
      </c>
      <c r="D281" t="s">
        <v>182</v>
      </c>
      <c r="E281" t="s">
        <v>22</v>
      </c>
      <c r="F281" t="s">
        <v>183</v>
      </c>
      <c r="K281">
        <v>2003</v>
      </c>
      <c r="L281" t="s">
        <v>37</v>
      </c>
      <c r="M281">
        <v>2139</v>
      </c>
      <c r="N281">
        <v>3</v>
      </c>
      <c r="O281">
        <v>2.5</v>
      </c>
      <c r="P281" t="s">
        <v>187</v>
      </c>
      <c r="Q281">
        <v>33.533325136422</v>
      </c>
      <c r="R281">
        <v>-112.12078087596301</v>
      </c>
    </row>
    <row r="282" spans="1:18" x14ac:dyDescent="0.3">
      <c r="A282" t="s">
        <v>340</v>
      </c>
      <c r="B282">
        <v>85225</v>
      </c>
      <c r="C282" t="s">
        <v>181</v>
      </c>
      <c r="D282" t="s">
        <v>182</v>
      </c>
      <c r="E282" t="s">
        <v>22</v>
      </c>
      <c r="F282" t="s">
        <v>183</v>
      </c>
      <c r="J282" t="s">
        <v>24</v>
      </c>
      <c r="K282">
        <v>1996</v>
      </c>
      <c r="L282" t="s">
        <v>37</v>
      </c>
      <c r="M282">
        <v>1208</v>
      </c>
      <c r="N282">
        <v>3</v>
      </c>
      <c r="O282">
        <v>2</v>
      </c>
      <c r="P282" t="s">
        <v>187</v>
      </c>
      <c r="Q282">
        <v>33.307765984584996</v>
      </c>
      <c r="R282">
        <v>-111.819259595042</v>
      </c>
    </row>
    <row r="283" spans="1:18" x14ac:dyDescent="0.3">
      <c r="A283" t="s">
        <v>341</v>
      </c>
      <c r="B283">
        <v>85225</v>
      </c>
      <c r="C283" t="s">
        <v>181</v>
      </c>
      <c r="D283" t="s">
        <v>182</v>
      </c>
      <c r="E283" t="s">
        <v>22</v>
      </c>
      <c r="F283" t="s">
        <v>183</v>
      </c>
      <c r="J283" t="s">
        <v>24</v>
      </c>
      <c r="K283">
        <v>1948</v>
      </c>
      <c r="L283" t="s">
        <v>37</v>
      </c>
      <c r="M283">
        <v>1223</v>
      </c>
      <c r="N283">
        <v>3</v>
      </c>
      <c r="O283">
        <v>2</v>
      </c>
      <c r="Q283">
        <v>33.313343009592003</v>
      </c>
      <c r="R283">
        <v>-111.848571697179</v>
      </c>
    </row>
    <row r="284" spans="1:18" x14ac:dyDescent="0.3">
      <c r="A284" t="s">
        <v>342</v>
      </c>
      <c r="B284">
        <v>85053</v>
      </c>
      <c r="C284" t="s">
        <v>225</v>
      </c>
      <c r="D284" t="s">
        <v>182</v>
      </c>
      <c r="E284" t="s">
        <v>22</v>
      </c>
      <c r="F284" t="s">
        <v>183</v>
      </c>
      <c r="J284" t="s">
        <v>24</v>
      </c>
      <c r="K284">
        <v>1971</v>
      </c>
      <c r="L284" t="s">
        <v>37</v>
      </c>
      <c r="M284">
        <v>1156</v>
      </c>
      <c r="N284">
        <v>3</v>
      </c>
      <c r="O284">
        <v>1.5</v>
      </c>
      <c r="P284" t="s">
        <v>190</v>
      </c>
      <c r="Q284">
        <v>33.623165098774997</v>
      </c>
      <c r="R284">
        <v>-112.12462624168199</v>
      </c>
    </row>
    <row r="285" spans="1:18" x14ac:dyDescent="0.3">
      <c r="A285" t="s">
        <v>343</v>
      </c>
      <c r="B285">
        <v>85282</v>
      </c>
      <c r="C285" t="s">
        <v>189</v>
      </c>
      <c r="D285" t="s">
        <v>182</v>
      </c>
      <c r="E285" t="s">
        <v>22</v>
      </c>
      <c r="F285" t="s">
        <v>183</v>
      </c>
      <c r="J285" t="s">
        <v>24</v>
      </c>
      <c r="K285">
        <v>1972</v>
      </c>
      <c r="L285" t="s">
        <v>37</v>
      </c>
      <c r="M285">
        <v>1528</v>
      </c>
      <c r="N285">
        <v>4</v>
      </c>
      <c r="O285">
        <v>2</v>
      </c>
      <c r="Q285">
        <v>33.386528046515998</v>
      </c>
      <c r="R285">
        <v>-111.94389346611899</v>
      </c>
    </row>
    <row r="286" spans="1:18" x14ac:dyDescent="0.3">
      <c r="A286" t="s">
        <v>344</v>
      </c>
      <c r="B286">
        <v>85225</v>
      </c>
      <c r="C286" t="s">
        <v>181</v>
      </c>
      <c r="D286" t="s">
        <v>182</v>
      </c>
      <c r="E286" t="s">
        <v>22</v>
      </c>
      <c r="F286" t="s">
        <v>183</v>
      </c>
      <c r="J286" t="s">
        <v>24</v>
      </c>
      <c r="K286">
        <v>1980</v>
      </c>
      <c r="L286" t="s">
        <v>37</v>
      </c>
      <c r="M286">
        <v>1288</v>
      </c>
      <c r="N286">
        <v>3</v>
      </c>
      <c r="O286">
        <v>2</v>
      </c>
      <c r="P286" t="s">
        <v>190</v>
      </c>
      <c r="Q286">
        <v>33.345268170044001</v>
      </c>
      <c r="R286">
        <v>-111.84702297293001</v>
      </c>
    </row>
    <row r="287" spans="1:18" x14ac:dyDescent="0.3">
      <c r="A287" t="s">
        <v>345</v>
      </c>
      <c r="B287">
        <v>85225</v>
      </c>
      <c r="C287" t="s">
        <v>181</v>
      </c>
      <c r="D287" t="s">
        <v>182</v>
      </c>
      <c r="E287" t="s">
        <v>22</v>
      </c>
      <c r="F287" t="s">
        <v>183</v>
      </c>
      <c r="J287" t="s">
        <v>24</v>
      </c>
      <c r="K287">
        <v>1980</v>
      </c>
      <c r="L287" t="s">
        <v>37</v>
      </c>
      <c r="M287">
        <v>1403</v>
      </c>
      <c r="N287">
        <v>3</v>
      </c>
      <c r="O287">
        <v>2</v>
      </c>
      <c r="P287" t="s">
        <v>187</v>
      </c>
      <c r="Q287">
        <v>33.343017629042002</v>
      </c>
      <c r="R287">
        <v>-111.846656851399</v>
      </c>
    </row>
    <row r="288" spans="1:18" x14ac:dyDescent="0.3">
      <c r="A288" t="s">
        <v>346</v>
      </c>
      <c r="B288">
        <v>85041</v>
      </c>
      <c r="C288" t="s">
        <v>225</v>
      </c>
      <c r="D288" t="s">
        <v>182</v>
      </c>
      <c r="E288" t="s">
        <v>22</v>
      </c>
      <c r="F288" t="s">
        <v>183</v>
      </c>
      <c r="J288" t="s">
        <v>24</v>
      </c>
      <c r="K288">
        <v>2003</v>
      </c>
      <c r="L288" t="s">
        <v>37</v>
      </c>
      <c r="M288">
        <v>1531</v>
      </c>
      <c r="N288">
        <v>3</v>
      </c>
      <c r="O288">
        <v>2</v>
      </c>
      <c r="Q288">
        <v>33.379863762939003</v>
      </c>
      <c r="R288">
        <v>-112.126289295091</v>
      </c>
    </row>
    <row r="289" spans="1:18" x14ac:dyDescent="0.3">
      <c r="A289" t="s">
        <v>347</v>
      </c>
      <c r="B289">
        <v>85225</v>
      </c>
      <c r="C289" t="s">
        <v>181</v>
      </c>
      <c r="D289" t="s">
        <v>182</v>
      </c>
      <c r="E289" t="s">
        <v>22</v>
      </c>
      <c r="F289" t="s">
        <v>183</v>
      </c>
      <c r="J289" t="s">
        <v>24</v>
      </c>
      <c r="K289">
        <v>1980</v>
      </c>
      <c r="L289" t="s">
        <v>37</v>
      </c>
      <c r="M289">
        <v>1204</v>
      </c>
      <c r="N289">
        <v>3</v>
      </c>
      <c r="O289">
        <v>2</v>
      </c>
      <c r="P289" t="s">
        <v>190</v>
      </c>
      <c r="Q289">
        <v>33.344898150928998</v>
      </c>
      <c r="R289">
        <v>-111.84794615574501</v>
      </c>
    </row>
    <row r="290" spans="1:18" x14ac:dyDescent="0.3">
      <c r="A290" t="s">
        <v>348</v>
      </c>
      <c r="B290">
        <v>85029</v>
      </c>
      <c r="C290" t="s">
        <v>225</v>
      </c>
      <c r="D290" t="s">
        <v>182</v>
      </c>
      <c r="E290" t="s">
        <v>22</v>
      </c>
      <c r="F290" t="s">
        <v>183</v>
      </c>
      <c r="J290" t="s">
        <v>24</v>
      </c>
      <c r="K290">
        <v>1968</v>
      </c>
      <c r="L290" t="s">
        <v>37</v>
      </c>
      <c r="M290">
        <v>1430</v>
      </c>
      <c r="N290">
        <v>3</v>
      </c>
      <c r="O290">
        <v>2</v>
      </c>
      <c r="P290" t="s">
        <v>190</v>
      </c>
      <c r="Q290">
        <v>33.585983311565002</v>
      </c>
      <c r="R290">
        <v>-112.129379199878</v>
      </c>
    </row>
    <row r="291" spans="1:18" x14ac:dyDescent="0.3">
      <c r="A291" t="s">
        <v>349</v>
      </c>
      <c r="B291">
        <v>85281</v>
      </c>
      <c r="C291" t="s">
        <v>189</v>
      </c>
      <c r="D291" t="s">
        <v>182</v>
      </c>
      <c r="E291" t="s">
        <v>22</v>
      </c>
      <c r="F291" t="s">
        <v>183</v>
      </c>
      <c r="J291" t="s">
        <v>24</v>
      </c>
      <c r="K291">
        <v>1960</v>
      </c>
      <c r="L291" t="s">
        <v>37</v>
      </c>
      <c r="M291">
        <v>1362</v>
      </c>
      <c r="N291">
        <v>3</v>
      </c>
      <c r="O291">
        <v>2</v>
      </c>
      <c r="Q291">
        <v>33.455448119647997</v>
      </c>
      <c r="R291">
        <v>-111.933548018305</v>
      </c>
    </row>
    <row r="292" spans="1:18" x14ac:dyDescent="0.3">
      <c r="A292" t="s">
        <v>350</v>
      </c>
      <c r="B292">
        <v>85339</v>
      </c>
      <c r="C292" t="s">
        <v>351</v>
      </c>
      <c r="D292" t="s">
        <v>182</v>
      </c>
      <c r="E292" t="s">
        <v>22</v>
      </c>
      <c r="F292" t="s">
        <v>183</v>
      </c>
      <c r="J292" t="s">
        <v>24</v>
      </c>
      <c r="K292">
        <v>2005</v>
      </c>
      <c r="L292" t="s">
        <v>37</v>
      </c>
      <c r="M292">
        <v>1863</v>
      </c>
      <c r="N292">
        <v>4</v>
      </c>
      <c r="O292">
        <v>2.5</v>
      </c>
      <c r="P292" t="s">
        <v>187</v>
      </c>
      <c r="Q292">
        <v>33.361587525978997</v>
      </c>
      <c r="R292">
        <v>-112.13585665083301</v>
      </c>
    </row>
    <row r="293" spans="1:18" x14ac:dyDescent="0.3">
      <c r="A293" t="s">
        <v>352</v>
      </c>
      <c r="B293">
        <v>85225</v>
      </c>
      <c r="C293" t="s">
        <v>181</v>
      </c>
      <c r="D293" t="s">
        <v>182</v>
      </c>
      <c r="E293" t="s">
        <v>22</v>
      </c>
      <c r="F293" t="s">
        <v>183</v>
      </c>
      <c r="J293" t="s">
        <v>24</v>
      </c>
      <c r="K293">
        <v>1986</v>
      </c>
      <c r="L293" t="s">
        <v>37</v>
      </c>
      <c r="M293">
        <v>1526</v>
      </c>
      <c r="N293">
        <v>3</v>
      </c>
      <c r="O293">
        <v>2</v>
      </c>
      <c r="P293" t="s">
        <v>187</v>
      </c>
      <c r="Q293">
        <v>33.297313667506998</v>
      </c>
      <c r="R293">
        <v>-111.904502795965</v>
      </c>
    </row>
    <row r="294" spans="1:18" x14ac:dyDescent="0.3">
      <c r="A294" t="s">
        <v>353</v>
      </c>
      <c r="B294">
        <v>85226</v>
      </c>
      <c r="C294" t="s">
        <v>181</v>
      </c>
      <c r="D294" t="s">
        <v>182</v>
      </c>
      <c r="E294" t="s">
        <v>22</v>
      </c>
      <c r="F294" t="s">
        <v>183</v>
      </c>
      <c r="J294" t="s">
        <v>24</v>
      </c>
      <c r="K294">
        <v>1986</v>
      </c>
      <c r="L294" t="s">
        <v>37</v>
      </c>
      <c r="M294">
        <v>1350</v>
      </c>
      <c r="N294">
        <v>3</v>
      </c>
      <c r="O294">
        <v>2</v>
      </c>
      <c r="P294" t="s">
        <v>187</v>
      </c>
      <c r="Q294">
        <v>33.295391068466003</v>
      </c>
      <c r="R294">
        <v>-111.90478518228301</v>
      </c>
    </row>
    <row r="295" spans="1:18" x14ac:dyDescent="0.3">
      <c r="A295" t="s">
        <v>354</v>
      </c>
      <c r="B295">
        <v>85283</v>
      </c>
      <c r="C295" t="s">
        <v>189</v>
      </c>
      <c r="D295" t="s">
        <v>182</v>
      </c>
      <c r="E295" t="s">
        <v>22</v>
      </c>
      <c r="F295" t="s">
        <v>183</v>
      </c>
      <c r="J295" t="s">
        <v>24</v>
      </c>
      <c r="K295">
        <v>1970</v>
      </c>
      <c r="L295" t="s">
        <v>37</v>
      </c>
      <c r="M295">
        <v>1277</v>
      </c>
      <c r="N295">
        <v>3</v>
      </c>
      <c r="O295">
        <v>2</v>
      </c>
      <c r="P295" t="s">
        <v>198</v>
      </c>
      <c r="Q295">
        <v>33.390064287647</v>
      </c>
      <c r="R295">
        <v>-111.889816192859</v>
      </c>
    </row>
    <row r="296" spans="1:18" x14ac:dyDescent="0.3">
      <c r="A296" t="s">
        <v>355</v>
      </c>
      <c r="B296">
        <v>85285</v>
      </c>
      <c r="C296" t="s">
        <v>189</v>
      </c>
      <c r="D296" t="s">
        <v>182</v>
      </c>
      <c r="E296" t="s">
        <v>22</v>
      </c>
      <c r="F296" t="s">
        <v>183</v>
      </c>
      <c r="J296" t="s">
        <v>24</v>
      </c>
      <c r="K296">
        <v>1970</v>
      </c>
      <c r="L296" t="s">
        <v>37</v>
      </c>
      <c r="M296">
        <v>1288</v>
      </c>
      <c r="N296">
        <v>3</v>
      </c>
      <c r="O296">
        <v>2</v>
      </c>
      <c r="Q296">
        <v>33.390064287647</v>
      </c>
      <c r="R296">
        <v>-111.889816192859</v>
      </c>
    </row>
    <row r="297" spans="1:18" x14ac:dyDescent="0.3">
      <c r="A297" t="s">
        <v>356</v>
      </c>
      <c r="B297">
        <v>85043</v>
      </c>
      <c r="C297" t="s">
        <v>225</v>
      </c>
      <c r="D297" t="s">
        <v>182</v>
      </c>
      <c r="E297" t="s">
        <v>22</v>
      </c>
      <c r="F297" t="s">
        <v>183</v>
      </c>
      <c r="J297" t="s">
        <v>24</v>
      </c>
      <c r="K297">
        <v>2021</v>
      </c>
      <c r="M297">
        <v>1605</v>
      </c>
      <c r="N297">
        <v>3</v>
      </c>
      <c r="O297">
        <v>2.5</v>
      </c>
      <c r="Q297">
        <v>33.414165444399003</v>
      </c>
      <c r="R297">
        <v>-112.18516537555701</v>
      </c>
    </row>
    <row r="298" spans="1:18" x14ac:dyDescent="0.3">
      <c r="A298" t="s">
        <v>357</v>
      </c>
      <c r="B298">
        <v>85281</v>
      </c>
      <c r="C298" t="s">
        <v>189</v>
      </c>
      <c r="D298" t="s">
        <v>182</v>
      </c>
      <c r="E298" t="s">
        <v>22</v>
      </c>
      <c r="F298" t="s">
        <v>183</v>
      </c>
      <c r="J298" t="s">
        <v>24</v>
      </c>
      <c r="K298">
        <v>1979</v>
      </c>
      <c r="L298" t="s">
        <v>37</v>
      </c>
      <c r="M298">
        <v>1378</v>
      </c>
      <c r="N298">
        <v>3</v>
      </c>
      <c r="O298">
        <v>2</v>
      </c>
      <c r="P298" t="s">
        <v>187</v>
      </c>
      <c r="Q298">
        <v>33.387779338931999</v>
      </c>
      <c r="R298">
        <v>-111.947937063849</v>
      </c>
    </row>
    <row r="299" spans="1:18" x14ac:dyDescent="0.3">
      <c r="A299" t="s">
        <v>358</v>
      </c>
      <c r="B299">
        <v>85041</v>
      </c>
      <c r="C299" t="s">
        <v>225</v>
      </c>
      <c r="D299" t="s">
        <v>182</v>
      </c>
      <c r="E299" t="s">
        <v>22</v>
      </c>
      <c r="F299" t="s">
        <v>183</v>
      </c>
      <c r="J299" t="s">
        <v>24</v>
      </c>
      <c r="K299">
        <v>2002</v>
      </c>
      <c r="L299" t="s">
        <v>37</v>
      </c>
      <c r="M299">
        <v>2093</v>
      </c>
      <c r="N299">
        <v>3</v>
      </c>
      <c r="O299">
        <v>2.5</v>
      </c>
      <c r="P299" t="s">
        <v>187</v>
      </c>
      <c r="Q299">
        <v>33.381946582059001</v>
      </c>
      <c r="R299">
        <v>-112.143150331519</v>
      </c>
    </row>
    <row r="300" spans="1:18" x14ac:dyDescent="0.3">
      <c r="A300" t="s">
        <v>359</v>
      </c>
      <c r="B300">
        <v>85225</v>
      </c>
      <c r="C300" t="s">
        <v>181</v>
      </c>
      <c r="D300" t="s">
        <v>182</v>
      </c>
      <c r="E300" t="s">
        <v>22</v>
      </c>
      <c r="F300" t="s">
        <v>183</v>
      </c>
      <c r="J300" t="s">
        <v>24</v>
      </c>
      <c r="K300">
        <v>1948</v>
      </c>
      <c r="L300" t="s">
        <v>37</v>
      </c>
      <c r="M300">
        <v>923</v>
      </c>
      <c r="N300">
        <v>2</v>
      </c>
      <c r="O300">
        <v>2.5</v>
      </c>
      <c r="Q300">
        <v>33.295280511163</v>
      </c>
      <c r="R300">
        <v>-111.84571841352</v>
      </c>
    </row>
    <row r="301" spans="1:18" x14ac:dyDescent="0.3">
      <c r="A301" t="s">
        <v>360</v>
      </c>
      <c r="B301">
        <v>85225</v>
      </c>
      <c r="C301" t="s">
        <v>181</v>
      </c>
      <c r="D301" t="s">
        <v>182</v>
      </c>
      <c r="E301" t="s">
        <v>22</v>
      </c>
      <c r="F301" t="s">
        <v>183</v>
      </c>
      <c r="J301" t="s">
        <v>24</v>
      </c>
      <c r="K301">
        <v>1996</v>
      </c>
      <c r="L301" t="s">
        <v>37</v>
      </c>
      <c r="M301">
        <v>1187</v>
      </c>
      <c r="N301">
        <v>3</v>
      </c>
      <c r="O301">
        <v>2</v>
      </c>
      <c r="P301" t="s">
        <v>190</v>
      </c>
      <c r="Q301">
        <v>33.309955589151997</v>
      </c>
      <c r="R301">
        <v>-111.840126007721</v>
      </c>
    </row>
    <row r="302" spans="1:18" x14ac:dyDescent="0.3">
      <c r="A302" t="s">
        <v>361</v>
      </c>
      <c r="B302">
        <v>85225</v>
      </c>
      <c r="C302" t="s">
        <v>181</v>
      </c>
      <c r="D302" t="s">
        <v>182</v>
      </c>
      <c r="E302" t="s">
        <v>22</v>
      </c>
      <c r="F302" t="s">
        <v>183</v>
      </c>
      <c r="J302" t="s">
        <v>24</v>
      </c>
      <c r="K302">
        <v>1974</v>
      </c>
      <c r="L302" t="s">
        <v>37</v>
      </c>
      <c r="M302">
        <v>2284</v>
      </c>
      <c r="N302">
        <v>4</v>
      </c>
      <c r="O302">
        <v>2</v>
      </c>
      <c r="P302" t="s">
        <v>187</v>
      </c>
      <c r="Q302">
        <v>33.325809414185002</v>
      </c>
      <c r="R302">
        <v>-111.84674075425001</v>
      </c>
    </row>
    <row r="303" spans="1:18" x14ac:dyDescent="0.3">
      <c r="A303" t="s">
        <v>362</v>
      </c>
      <c r="B303">
        <v>85225</v>
      </c>
      <c r="C303" t="s">
        <v>181</v>
      </c>
      <c r="D303" t="s">
        <v>182</v>
      </c>
      <c r="E303" t="s">
        <v>22</v>
      </c>
      <c r="F303" t="s">
        <v>183</v>
      </c>
      <c r="J303" t="s">
        <v>24</v>
      </c>
      <c r="K303">
        <v>1981</v>
      </c>
      <c r="L303" t="s">
        <v>37</v>
      </c>
      <c r="M303">
        <v>1836</v>
      </c>
      <c r="N303">
        <v>4</v>
      </c>
      <c r="O303">
        <v>2</v>
      </c>
      <c r="P303" t="s">
        <v>187</v>
      </c>
      <c r="Q303">
        <v>33.345153757066001</v>
      </c>
      <c r="R303">
        <v>-111.848854083498</v>
      </c>
    </row>
    <row r="304" spans="1:18" x14ac:dyDescent="0.3">
      <c r="A304" t="s">
        <v>363</v>
      </c>
      <c r="B304">
        <v>85032</v>
      </c>
      <c r="C304" t="s">
        <v>225</v>
      </c>
      <c r="D304" t="s">
        <v>182</v>
      </c>
      <c r="E304" t="s">
        <v>22</v>
      </c>
      <c r="F304" t="s">
        <v>183</v>
      </c>
      <c r="J304" t="s">
        <v>24</v>
      </c>
      <c r="K304">
        <v>1976</v>
      </c>
      <c r="M304">
        <v>1209</v>
      </c>
      <c r="N304">
        <v>3</v>
      </c>
      <c r="O304">
        <v>2</v>
      </c>
      <c r="P304" t="s">
        <v>184</v>
      </c>
      <c r="Q304">
        <v>33.604419726693997</v>
      </c>
      <c r="R304">
        <v>-111.99263766966401</v>
      </c>
    </row>
    <row r="305" spans="1:18" x14ac:dyDescent="0.3">
      <c r="A305" t="s">
        <v>364</v>
      </c>
      <c r="B305">
        <v>85029</v>
      </c>
      <c r="C305" t="s">
        <v>225</v>
      </c>
      <c r="D305" t="s">
        <v>182</v>
      </c>
      <c r="E305" t="s">
        <v>22</v>
      </c>
      <c r="F305" t="s">
        <v>183</v>
      </c>
      <c r="J305" t="s">
        <v>24</v>
      </c>
      <c r="K305">
        <v>1974</v>
      </c>
      <c r="L305" t="s">
        <v>37</v>
      </c>
      <c r="M305">
        <v>1780</v>
      </c>
      <c r="N305">
        <v>4</v>
      </c>
      <c r="O305">
        <v>2</v>
      </c>
      <c r="P305" t="s">
        <v>184</v>
      </c>
      <c r="Q305">
        <v>33.593719431010001</v>
      </c>
      <c r="R305">
        <v>-112.148269578884</v>
      </c>
    </row>
    <row r="306" spans="1:18" x14ac:dyDescent="0.3">
      <c r="A306" t="s">
        <v>365</v>
      </c>
      <c r="B306">
        <v>85041</v>
      </c>
      <c r="C306" t="s">
        <v>225</v>
      </c>
      <c r="D306" t="s">
        <v>182</v>
      </c>
      <c r="E306" t="s">
        <v>22</v>
      </c>
      <c r="F306" t="s">
        <v>183</v>
      </c>
      <c r="J306" t="s">
        <v>24</v>
      </c>
      <c r="K306">
        <v>2004</v>
      </c>
      <c r="L306" t="s">
        <v>37</v>
      </c>
      <c r="M306">
        <v>1616</v>
      </c>
      <c r="N306">
        <v>3</v>
      </c>
      <c r="O306">
        <v>2.5</v>
      </c>
      <c r="Q306">
        <v>33.382572207312002</v>
      </c>
      <c r="R306">
        <v>-112.14895639203</v>
      </c>
    </row>
    <row r="307" spans="1:18" x14ac:dyDescent="0.3">
      <c r="A307" t="s">
        <v>366</v>
      </c>
      <c r="B307">
        <v>85225</v>
      </c>
      <c r="C307" t="s">
        <v>181</v>
      </c>
      <c r="D307" t="s">
        <v>182</v>
      </c>
      <c r="E307" t="s">
        <v>22</v>
      </c>
      <c r="F307" t="s">
        <v>183</v>
      </c>
      <c r="J307" t="s">
        <v>24</v>
      </c>
      <c r="K307">
        <v>1984</v>
      </c>
      <c r="L307" t="s">
        <v>37</v>
      </c>
      <c r="M307">
        <v>1288</v>
      </c>
      <c r="N307">
        <v>3</v>
      </c>
      <c r="O307">
        <v>2</v>
      </c>
      <c r="P307" t="s">
        <v>187</v>
      </c>
      <c r="Q307">
        <v>33.330009418228002</v>
      </c>
      <c r="R307">
        <v>-111.845237795191</v>
      </c>
    </row>
    <row r="308" spans="1:18" x14ac:dyDescent="0.3">
      <c r="A308" t="s">
        <v>367</v>
      </c>
      <c r="B308">
        <v>85304</v>
      </c>
      <c r="C308" t="s">
        <v>262</v>
      </c>
      <c r="D308" t="s">
        <v>182</v>
      </c>
      <c r="E308" t="s">
        <v>22</v>
      </c>
      <c r="F308" t="s">
        <v>183</v>
      </c>
      <c r="J308" t="s">
        <v>24</v>
      </c>
      <c r="K308">
        <v>1971</v>
      </c>
      <c r="L308" t="s">
        <v>37</v>
      </c>
      <c r="M308">
        <v>1224</v>
      </c>
      <c r="N308">
        <v>3</v>
      </c>
      <c r="O308">
        <v>2</v>
      </c>
      <c r="Q308">
        <v>33.590743981110997</v>
      </c>
      <c r="R308">
        <v>-112.153465269205</v>
      </c>
    </row>
    <row r="309" spans="1:18" x14ac:dyDescent="0.3">
      <c r="A309" t="s">
        <v>368</v>
      </c>
      <c r="B309">
        <v>85225</v>
      </c>
      <c r="C309" t="s">
        <v>181</v>
      </c>
      <c r="D309" t="s">
        <v>182</v>
      </c>
      <c r="E309" t="s">
        <v>22</v>
      </c>
      <c r="F309" t="s">
        <v>183</v>
      </c>
      <c r="J309" t="s">
        <v>24</v>
      </c>
      <c r="K309">
        <v>1962</v>
      </c>
      <c r="L309" t="s">
        <v>37</v>
      </c>
      <c r="M309">
        <v>1420</v>
      </c>
      <c r="N309">
        <v>3</v>
      </c>
      <c r="O309">
        <v>1.5</v>
      </c>
      <c r="P309" t="s">
        <v>198</v>
      </c>
      <c r="Q309">
        <v>33.318145798202004</v>
      </c>
      <c r="R309">
        <v>-111.847396805811</v>
      </c>
    </row>
    <row r="310" spans="1:18" x14ac:dyDescent="0.3">
      <c r="A310" t="s">
        <v>369</v>
      </c>
      <c r="B310">
        <v>85281</v>
      </c>
      <c r="C310" t="s">
        <v>189</v>
      </c>
      <c r="D310" t="s">
        <v>182</v>
      </c>
      <c r="E310" t="s">
        <v>22</v>
      </c>
      <c r="F310" t="s">
        <v>183</v>
      </c>
      <c r="J310" t="s">
        <v>24</v>
      </c>
      <c r="K310">
        <v>1959</v>
      </c>
      <c r="L310" t="s">
        <v>37</v>
      </c>
      <c r="M310">
        <v>1092</v>
      </c>
      <c r="N310">
        <v>3</v>
      </c>
      <c r="O310">
        <v>2</v>
      </c>
      <c r="P310" t="s">
        <v>198</v>
      </c>
      <c r="Q310">
        <v>33.457351733678003</v>
      </c>
      <c r="R310">
        <v>-111.931129420144</v>
      </c>
    </row>
    <row r="311" spans="1:18" x14ac:dyDescent="0.3">
      <c r="A311" t="s">
        <v>370</v>
      </c>
      <c r="B311">
        <v>85225</v>
      </c>
      <c r="C311" t="s">
        <v>181</v>
      </c>
      <c r="D311" t="s">
        <v>182</v>
      </c>
      <c r="E311" t="s">
        <v>22</v>
      </c>
      <c r="F311" t="s">
        <v>183</v>
      </c>
      <c r="J311" t="s">
        <v>24</v>
      </c>
      <c r="K311">
        <v>1950</v>
      </c>
      <c r="L311" t="s">
        <v>37</v>
      </c>
      <c r="M311">
        <v>1357</v>
      </c>
      <c r="N311">
        <v>3</v>
      </c>
      <c r="O311">
        <v>2</v>
      </c>
      <c r="P311" t="s">
        <v>190</v>
      </c>
      <c r="Q311">
        <v>33.308891338906001</v>
      </c>
      <c r="R311">
        <v>-111.847503758896</v>
      </c>
    </row>
    <row r="312" spans="1:18" x14ac:dyDescent="0.3">
      <c r="A312" t="s">
        <v>371</v>
      </c>
      <c r="B312">
        <v>85225</v>
      </c>
      <c r="C312" t="s">
        <v>181</v>
      </c>
      <c r="D312" t="s">
        <v>182</v>
      </c>
      <c r="E312" t="s">
        <v>22</v>
      </c>
      <c r="F312" t="s">
        <v>183</v>
      </c>
      <c r="J312" t="s">
        <v>24</v>
      </c>
      <c r="K312">
        <v>1975</v>
      </c>
      <c r="L312" t="s">
        <v>37</v>
      </c>
      <c r="M312">
        <v>1658</v>
      </c>
      <c r="N312">
        <v>3</v>
      </c>
      <c r="O312">
        <v>2</v>
      </c>
      <c r="P312" t="s">
        <v>187</v>
      </c>
      <c r="Q312">
        <v>33.325862932635999</v>
      </c>
      <c r="R312">
        <v>-111.847808860171</v>
      </c>
    </row>
    <row r="313" spans="1:18" x14ac:dyDescent="0.3">
      <c r="A313" t="s">
        <v>372</v>
      </c>
      <c r="B313">
        <v>85339</v>
      </c>
      <c r="C313" t="s">
        <v>351</v>
      </c>
      <c r="D313" t="s">
        <v>182</v>
      </c>
      <c r="E313" t="s">
        <v>22</v>
      </c>
      <c r="F313" t="s">
        <v>183</v>
      </c>
      <c r="J313" t="s">
        <v>24</v>
      </c>
      <c r="K313">
        <v>2005</v>
      </c>
      <c r="L313" t="s">
        <v>37</v>
      </c>
      <c r="M313">
        <v>1931</v>
      </c>
      <c r="N313">
        <v>4</v>
      </c>
      <c r="O313">
        <v>2</v>
      </c>
      <c r="P313" t="s">
        <v>187</v>
      </c>
      <c r="Q313">
        <v>33.367084545719997</v>
      </c>
      <c r="R313">
        <v>-112.162223855109</v>
      </c>
    </row>
    <row r="314" spans="1:18" x14ac:dyDescent="0.3">
      <c r="A314" t="s">
        <v>373</v>
      </c>
      <c r="B314">
        <v>85301</v>
      </c>
      <c r="C314" t="s">
        <v>262</v>
      </c>
      <c r="D314" t="s">
        <v>182</v>
      </c>
      <c r="E314" t="s">
        <v>22</v>
      </c>
      <c r="F314" t="s">
        <v>183</v>
      </c>
      <c r="J314" t="s">
        <v>24</v>
      </c>
      <c r="K314">
        <v>1971</v>
      </c>
      <c r="L314" t="s">
        <v>37</v>
      </c>
      <c r="M314">
        <v>1388</v>
      </c>
      <c r="N314">
        <v>3</v>
      </c>
      <c r="O314">
        <v>2</v>
      </c>
      <c r="P314" t="s">
        <v>187</v>
      </c>
      <c r="Q314">
        <v>33.544967725661003</v>
      </c>
      <c r="R314">
        <v>-112.162048254238</v>
      </c>
    </row>
    <row r="315" spans="1:18" x14ac:dyDescent="0.3">
      <c r="A315" t="s">
        <v>374</v>
      </c>
      <c r="B315">
        <v>85225</v>
      </c>
      <c r="C315" t="s">
        <v>181</v>
      </c>
      <c r="D315" t="s">
        <v>182</v>
      </c>
      <c r="E315" t="s">
        <v>22</v>
      </c>
      <c r="F315" t="s">
        <v>183</v>
      </c>
      <c r="J315" t="s">
        <v>24</v>
      </c>
      <c r="K315">
        <v>1947</v>
      </c>
      <c r="L315" t="s">
        <v>37</v>
      </c>
      <c r="M315">
        <v>1517</v>
      </c>
      <c r="N315">
        <v>2</v>
      </c>
      <c r="O315">
        <v>1</v>
      </c>
      <c r="P315" t="s">
        <v>187</v>
      </c>
      <c r="Q315">
        <v>33.307129001854001</v>
      </c>
      <c r="R315">
        <v>-111.847961494628</v>
      </c>
    </row>
    <row r="316" spans="1:18" x14ac:dyDescent="0.3">
      <c r="A316" t="s">
        <v>375</v>
      </c>
      <c r="B316">
        <v>85225</v>
      </c>
      <c r="C316" t="s">
        <v>181</v>
      </c>
      <c r="D316" t="s">
        <v>182</v>
      </c>
      <c r="E316" t="s">
        <v>22</v>
      </c>
      <c r="F316" t="s">
        <v>183</v>
      </c>
      <c r="J316" t="s">
        <v>24</v>
      </c>
      <c r="K316">
        <v>1989</v>
      </c>
      <c r="L316" t="s">
        <v>27</v>
      </c>
      <c r="M316">
        <v>1605</v>
      </c>
      <c r="N316">
        <v>3</v>
      </c>
      <c r="O316">
        <v>2</v>
      </c>
      <c r="P316" t="s">
        <v>187</v>
      </c>
      <c r="Q316">
        <v>33.327827441193001</v>
      </c>
      <c r="R316">
        <v>-111.84953301765501</v>
      </c>
    </row>
    <row r="317" spans="1:18" x14ac:dyDescent="0.3">
      <c r="A317" t="s">
        <v>376</v>
      </c>
      <c r="B317">
        <v>85225</v>
      </c>
      <c r="C317" t="s">
        <v>181</v>
      </c>
      <c r="D317" t="s">
        <v>182</v>
      </c>
      <c r="E317" t="s">
        <v>22</v>
      </c>
      <c r="F317" t="s">
        <v>183</v>
      </c>
      <c r="J317" t="s">
        <v>24</v>
      </c>
      <c r="K317">
        <v>1983</v>
      </c>
      <c r="L317" t="s">
        <v>37</v>
      </c>
      <c r="M317">
        <v>1110</v>
      </c>
      <c r="N317">
        <v>3</v>
      </c>
      <c r="O317">
        <v>2</v>
      </c>
      <c r="P317" t="s">
        <v>190</v>
      </c>
      <c r="Q317">
        <v>33.339122684365002</v>
      </c>
      <c r="R317">
        <v>-111.850112961535</v>
      </c>
    </row>
    <row r="318" spans="1:18" x14ac:dyDescent="0.3">
      <c r="A318" t="s">
        <v>377</v>
      </c>
      <c r="B318">
        <v>85226</v>
      </c>
      <c r="C318" t="s">
        <v>181</v>
      </c>
      <c r="D318" t="s">
        <v>182</v>
      </c>
      <c r="E318" t="s">
        <v>22</v>
      </c>
      <c r="F318" t="s">
        <v>183</v>
      </c>
      <c r="J318" t="s">
        <v>24</v>
      </c>
      <c r="K318">
        <v>1983</v>
      </c>
      <c r="L318" t="s">
        <v>37</v>
      </c>
      <c r="M318">
        <v>1422</v>
      </c>
      <c r="N318">
        <v>4</v>
      </c>
      <c r="O318">
        <v>2</v>
      </c>
      <c r="P318" t="s">
        <v>190</v>
      </c>
      <c r="Q318">
        <v>33.312545806781003</v>
      </c>
      <c r="R318">
        <v>-111.906440691979</v>
      </c>
    </row>
    <row r="319" spans="1:18" x14ac:dyDescent="0.3">
      <c r="A319" t="s">
        <v>378</v>
      </c>
      <c r="B319">
        <v>85283</v>
      </c>
      <c r="C319" t="s">
        <v>189</v>
      </c>
      <c r="D319" t="s">
        <v>182</v>
      </c>
      <c r="E319" t="s">
        <v>22</v>
      </c>
      <c r="F319" t="s">
        <v>183</v>
      </c>
      <c r="J319" t="s">
        <v>24</v>
      </c>
      <c r="K319">
        <v>1980</v>
      </c>
      <c r="L319" t="s">
        <v>37</v>
      </c>
      <c r="M319">
        <v>1355</v>
      </c>
      <c r="N319">
        <v>2</v>
      </c>
      <c r="O319">
        <v>2</v>
      </c>
      <c r="P319" t="s">
        <v>187</v>
      </c>
      <c r="Q319">
        <v>33.375598882966003</v>
      </c>
      <c r="R319">
        <v>-111.950195316202</v>
      </c>
    </row>
    <row r="320" spans="1:18" x14ac:dyDescent="0.3">
      <c r="A320" t="s">
        <v>379</v>
      </c>
      <c r="B320">
        <v>85283</v>
      </c>
      <c r="C320" t="s">
        <v>189</v>
      </c>
      <c r="D320" t="s">
        <v>182</v>
      </c>
      <c r="E320" t="s">
        <v>22</v>
      </c>
      <c r="F320" t="s">
        <v>183</v>
      </c>
      <c r="J320" t="s">
        <v>24</v>
      </c>
      <c r="K320">
        <v>1974</v>
      </c>
      <c r="L320" t="s">
        <v>37</v>
      </c>
      <c r="M320">
        <v>1260</v>
      </c>
      <c r="N320">
        <v>3</v>
      </c>
      <c r="O320">
        <v>1.5</v>
      </c>
      <c r="Q320">
        <v>33.374115034646003</v>
      </c>
      <c r="R320">
        <v>-111.899650596035</v>
      </c>
    </row>
    <row r="321" spans="1:18" x14ac:dyDescent="0.3">
      <c r="A321" t="s">
        <v>380</v>
      </c>
      <c r="B321">
        <v>85283</v>
      </c>
      <c r="C321" t="s">
        <v>189</v>
      </c>
      <c r="D321" t="s">
        <v>182</v>
      </c>
      <c r="E321" t="s">
        <v>22</v>
      </c>
      <c r="F321" t="s">
        <v>183</v>
      </c>
      <c r="J321" t="s">
        <v>24</v>
      </c>
      <c r="K321">
        <v>1973</v>
      </c>
      <c r="L321" t="s">
        <v>37</v>
      </c>
      <c r="M321">
        <v>1397</v>
      </c>
      <c r="N321">
        <v>3</v>
      </c>
      <c r="O321">
        <v>2</v>
      </c>
      <c r="P321" t="s">
        <v>187</v>
      </c>
      <c r="Q321">
        <v>33.374588109262</v>
      </c>
      <c r="R321">
        <v>-111.929290765863</v>
      </c>
    </row>
    <row r="322" spans="1:18" x14ac:dyDescent="0.3">
      <c r="A322" t="s">
        <v>381</v>
      </c>
      <c r="B322">
        <v>85043</v>
      </c>
      <c r="C322" t="s">
        <v>225</v>
      </c>
      <c r="D322" t="s">
        <v>182</v>
      </c>
      <c r="E322" t="s">
        <v>22</v>
      </c>
      <c r="F322" t="s">
        <v>183</v>
      </c>
      <c r="J322" t="s">
        <v>24</v>
      </c>
      <c r="K322">
        <v>2006</v>
      </c>
      <c r="L322" t="s">
        <v>37</v>
      </c>
      <c r="M322">
        <v>1737</v>
      </c>
      <c r="N322">
        <v>4</v>
      </c>
      <c r="O322">
        <v>2</v>
      </c>
      <c r="P322" t="s">
        <v>187</v>
      </c>
      <c r="Q322">
        <v>33.411052698927001</v>
      </c>
      <c r="R322">
        <v>-112.17618567504699</v>
      </c>
    </row>
    <row r="323" spans="1:18" x14ac:dyDescent="0.3">
      <c r="A323" t="s">
        <v>382</v>
      </c>
      <c r="B323">
        <v>85043</v>
      </c>
      <c r="C323" t="s">
        <v>225</v>
      </c>
      <c r="D323" t="s">
        <v>182</v>
      </c>
      <c r="E323" t="s">
        <v>22</v>
      </c>
      <c r="F323" t="s">
        <v>183</v>
      </c>
      <c r="J323" t="s">
        <v>24</v>
      </c>
      <c r="K323">
        <v>2006</v>
      </c>
      <c r="L323" t="s">
        <v>37</v>
      </c>
      <c r="M323">
        <v>1737</v>
      </c>
      <c r="N323">
        <v>4</v>
      </c>
      <c r="O323">
        <v>2</v>
      </c>
      <c r="P323" t="s">
        <v>184</v>
      </c>
      <c r="Q323">
        <v>33.411052698927001</v>
      </c>
      <c r="R323">
        <v>-112.17618567504699</v>
      </c>
    </row>
    <row r="324" spans="1:18" x14ac:dyDescent="0.3">
      <c r="A324" t="s">
        <v>383</v>
      </c>
      <c r="B324">
        <v>85303</v>
      </c>
      <c r="C324" t="s">
        <v>262</v>
      </c>
      <c r="D324" t="s">
        <v>182</v>
      </c>
      <c r="E324" t="s">
        <v>22</v>
      </c>
      <c r="F324" t="s">
        <v>183</v>
      </c>
      <c r="J324" t="s">
        <v>24</v>
      </c>
      <c r="K324">
        <v>1986</v>
      </c>
      <c r="L324" t="s">
        <v>37</v>
      </c>
      <c r="M324">
        <v>1458</v>
      </c>
      <c r="N324">
        <v>3</v>
      </c>
      <c r="O324">
        <v>2</v>
      </c>
      <c r="P324" t="s">
        <v>187</v>
      </c>
      <c r="Q324">
        <v>33.515495361535002</v>
      </c>
      <c r="R324">
        <v>-112.230041498426</v>
      </c>
    </row>
    <row r="325" spans="1:18" x14ac:dyDescent="0.3">
      <c r="A325" t="s">
        <v>384</v>
      </c>
      <c r="B325">
        <v>85283</v>
      </c>
      <c r="C325" t="s">
        <v>189</v>
      </c>
      <c r="D325" t="s">
        <v>182</v>
      </c>
      <c r="E325" t="s">
        <v>22</v>
      </c>
      <c r="F325" t="s">
        <v>183</v>
      </c>
      <c r="J325" t="s">
        <v>24</v>
      </c>
      <c r="K325">
        <v>1980</v>
      </c>
      <c r="L325" t="s">
        <v>37</v>
      </c>
      <c r="M325">
        <v>1079</v>
      </c>
      <c r="N325">
        <v>3</v>
      </c>
      <c r="O325">
        <v>2</v>
      </c>
      <c r="P325" t="s">
        <v>194</v>
      </c>
      <c r="Q325">
        <v>33.372840943454001</v>
      </c>
      <c r="R325">
        <v>-111.959365872647</v>
      </c>
    </row>
    <row r="326" spans="1:18" x14ac:dyDescent="0.3">
      <c r="A326" t="s">
        <v>385</v>
      </c>
      <c r="B326">
        <v>85302</v>
      </c>
      <c r="C326" t="s">
        <v>262</v>
      </c>
      <c r="D326" t="s">
        <v>182</v>
      </c>
      <c r="E326" t="s">
        <v>22</v>
      </c>
      <c r="F326" t="s">
        <v>183</v>
      </c>
      <c r="J326" t="s">
        <v>24</v>
      </c>
      <c r="K326">
        <v>1970</v>
      </c>
      <c r="L326" t="s">
        <v>37</v>
      </c>
      <c r="M326">
        <v>2112</v>
      </c>
      <c r="N326">
        <v>4</v>
      </c>
      <c r="O326">
        <v>2</v>
      </c>
      <c r="P326" t="s">
        <v>187</v>
      </c>
      <c r="Q326">
        <v>33.556732187773001</v>
      </c>
      <c r="R326">
        <v>-112.184547461655</v>
      </c>
    </row>
    <row r="327" spans="1:18" x14ac:dyDescent="0.3">
      <c r="A327" t="s">
        <v>386</v>
      </c>
      <c r="B327">
        <v>85283</v>
      </c>
      <c r="C327" t="s">
        <v>189</v>
      </c>
      <c r="D327" t="s">
        <v>182</v>
      </c>
      <c r="E327" t="s">
        <v>22</v>
      </c>
      <c r="F327" t="s">
        <v>183</v>
      </c>
      <c r="J327" t="s">
        <v>24</v>
      </c>
      <c r="K327">
        <v>1981</v>
      </c>
      <c r="L327" t="s">
        <v>37</v>
      </c>
      <c r="M327">
        <v>1392</v>
      </c>
      <c r="N327">
        <v>4</v>
      </c>
      <c r="O327">
        <v>2</v>
      </c>
      <c r="P327" t="s">
        <v>187</v>
      </c>
      <c r="Q327">
        <v>33.367412529591</v>
      </c>
      <c r="R327">
        <v>-111.95651250516801</v>
      </c>
    </row>
    <row r="328" spans="1:18" x14ac:dyDescent="0.3">
      <c r="A328" t="s">
        <v>387</v>
      </c>
      <c r="B328">
        <v>85225</v>
      </c>
      <c r="C328" t="s">
        <v>181</v>
      </c>
      <c r="D328" t="s">
        <v>182</v>
      </c>
      <c r="E328" t="s">
        <v>22</v>
      </c>
      <c r="F328" t="s">
        <v>183</v>
      </c>
      <c r="J328" t="s">
        <v>24</v>
      </c>
      <c r="K328">
        <v>1951</v>
      </c>
      <c r="L328" t="s">
        <v>37</v>
      </c>
      <c r="M328">
        <v>1373</v>
      </c>
      <c r="N328">
        <v>3</v>
      </c>
      <c r="O328">
        <v>2</v>
      </c>
      <c r="P328" t="s">
        <v>198</v>
      </c>
      <c r="Q328">
        <v>33.317371352258</v>
      </c>
      <c r="R328">
        <v>-111.850578408619</v>
      </c>
    </row>
    <row r="329" spans="1:18" x14ac:dyDescent="0.3">
      <c r="A329" t="s">
        <v>388</v>
      </c>
      <c r="B329">
        <v>85283</v>
      </c>
      <c r="C329" t="s">
        <v>189</v>
      </c>
      <c r="D329" t="s">
        <v>182</v>
      </c>
      <c r="E329" t="s">
        <v>22</v>
      </c>
      <c r="F329" t="s">
        <v>183</v>
      </c>
      <c r="J329" t="s">
        <v>24</v>
      </c>
      <c r="K329">
        <v>1979</v>
      </c>
      <c r="L329" t="s">
        <v>37</v>
      </c>
      <c r="M329">
        <v>1482</v>
      </c>
      <c r="N329">
        <v>3</v>
      </c>
      <c r="O329">
        <v>2</v>
      </c>
      <c r="P329" t="s">
        <v>187</v>
      </c>
      <c r="Q329">
        <v>33.369026213590999</v>
      </c>
      <c r="R329">
        <v>-111.949790889374</v>
      </c>
    </row>
    <row r="330" spans="1:18" x14ac:dyDescent="0.3">
      <c r="A330" t="s">
        <v>389</v>
      </c>
      <c r="B330">
        <v>85283</v>
      </c>
      <c r="C330" t="s">
        <v>189</v>
      </c>
      <c r="D330" t="s">
        <v>182</v>
      </c>
      <c r="E330" t="s">
        <v>22</v>
      </c>
      <c r="F330" t="s">
        <v>183</v>
      </c>
      <c r="J330" t="s">
        <v>24</v>
      </c>
      <c r="K330">
        <v>1982</v>
      </c>
      <c r="L330" t="s">
        <v>37</v>
      </c>
      <c r="M330">
        <v>1283</v>
      </c>
      <c r="N330">
        <v>3</v>
      </c>
      <c r="O330">
        <v>2</v>
      </c>
      <c r="P330" t="s">
        <v>194</v>
      </c>
      <c r="Q330">
        <v>33.364757519850997</v>
      </c>
      <c r="R330">
        <v>-111.95594790017</v>
      </c>
    </row>
    <row r="331" spans="1:18" x14ac:dyDescent="0.3">
      <c r="A331" t="s">
        <v>390</v>
      </c>
      <c r="B331">
        <v>85282</v>
      </c>
      <c r="C331" t="s">
        <v>189</v>
      </c>
      <c r="D331" t="s">
        <v>182</v>
      </c>
      <c r="E331" t="s">
        <v>22</v>
      </c>
      <c r="F331" t="s">
        <v>183</v>
      </c>
      <c r="J331" t="s">
        <v>24</v>
      </c>
      <c r="K331">
        <v>1979</v>
      </c>
      <c r="L331" t="s">
        <v>37</v>
      </c>
      <c r="M331">
        <v>1071</v>
      </c>
      <c r="N331">
        <v>3</v>
      </c>
      <c r="O331">
        <v>2</v>
      </c>
      <c r="Q331">
        <v>33.370487137403998</v>
      </c>
      <c r="R331">
        <v>-111.950416598446</v>
      </c>
    </row>
    <row r="332" spans="1:18" x14ac:dyDescent="0.3">
      <c r="A332" t="s">
        <v>391</v>
      </c>
      <c r="B332">
        <v>85225</v>
      </c>
      <c r="C332" t="s">
        <v>181</v>
      </c>
      <c r="D332" t="s">
        <v>182</v>
      </c>
      <c r="E332" t="s">
        <v>22</v>
      </c>
      <c r="F332" t="s">
        <v>183</v>
      </c>
      <c r="J332" t="s">
        <v>24</v>
      </c>
      <c r="K332">
        <v>1958</v>
      </c>
      <c r="L332" t="s">
        <v>37</v>
      </c>
      <c r="M332">
        <v>1501</v>
      </c>
      <c r="N332">
        <v>3</v>
      </c>
      <c r="O332">
        <v>2</v>
      </c>
      <c r="P332" t="s">
        <v>198</v>
      </c>
      <c r="Q332">
        <v>33.311908656410999</v>
      </c>
      <c r="R332">
        <v>-111.851455574786</v>
      </c>
    </row>
    <row r="333" spans="1:18" x14ac:dyDescent="0.3">
      <c r="A333" t="s">
        <v>392</v>
      </c>
      <c r="B333">
        <v>85225</v>
      </c>
      <c r="C333" t="s">
        <v>181</v>
      </c>
      <c r="D333" t="s">
        <v>182</v>
      </c>
      <c r="E333" t="s">
        <v>22</v>
      </c>
      <c r="F333" t="s">
        <v>183</v>
      </c>
      <c r="J333" t="s">
        <v>24</v>
      </c>
      <c r="K333">
        <v>1956</v>
      </c>
      <c r="L333" t="s">
        <v>37</v>
      </c>
      <c r="M333">
        <v>1273</v>
      </c>
      <c r="N333">
        <v>3</v>
      </c>
      <c r="O333">
        <v>2</v>
      </c>
      <c r="P333" t="s">
        <v>190</v>
      </c>
      <c r="Q333">
        <v>33.314399758035002</v>
      </c>
      <c r="R333">
        <v>-111.83885958597</v>
      </c>
    </row>
    <row r="334" spans="1:18" x14ac:dyDescent="0.3">
      <c r="A334" t="s">
        <v>393</v>
      </c>
      <c r="B334">
        <v>85257</v>
      </c>
      <c r="C334" t="s">
        <v>309</v>
      </c>
      <c r="D334" t="s">
        <v>182</v>
      </c>
      <c r="E334" t="s">
        <v>22</v>
      </c>
      <c r="F334" t="s">
        <v>183</v>
      </c>
      <c r="J334" t="s">
        <v>24</v>
      </c>
      <c r="K334">
        <v>1958</v>
      </c>
      <c r="L334" t="s">
        <v>37</v>
      </c>
      <c r="M334">
        <v>1528</v>
      </c>
      <c r="N334">
        <v>3</v>
      </c>
      <c r="O334">
        <v>2</v>
      </c>
      <c r="P334" t="s">
        <v>190</v>
      </c>
      <c r="Q334">
        <v>33.460456767799002</v>
      </c>
      <c r="R334">
        <v>-111.938026385353</v>
      </c>
    </row>
    <row r="335" spans="1:18" x14ac:dyDescent="0.3">
      <c r="A335" t="s">
        <v>394</v>
      </c>
      <c r="B335">
        <v>85225</v>
      </c>
      <c r="C335" t="s">
        <v>181</v>
      </c>
      <c r="D335" t="s">
        <v>182</v>
      </c>
      <c r="E335" t="s">
        <v>22</v>
      </c>
      <c r="F335" t="s">
        <v>183</v>
      </c>
      <c r="J335" t="s">
        <v>24</v>
      </c>
      <c r="K335">
        <v>1974</v>
      </c>
      <c r="L335" t="s">
        <v>37</v>
      </c>
      <c r="M335">
        <v>1276</v>
      </c>
      <c r="N335">
        <v>3</v>
      </c>
      <c r="O335">
        <v>2</v>
      </c>
      <c r="P335" t="s">
        <v>190</v>
      </c>
      <c r="Q335">
        <v>33.314487474651003</v>
      </c>
      <c r="R335">
        <v>-111.83126072018899</v>
      </c>
    </row>
    <row r="336" spans="1:18" x14ac:dyDescent="0.3">
      <c r="A336" t="s">
        <v>395</v>
      </c>
      <c r="B336">
        <v>85225</v>
      </c>
      <c r="C336" t="s">
        <v>181</v>
      </c>
      <c r="D336" t="s">
        <v>182</v>
      </c>
      <c r="E336" t="s">
        <v>22</v>
      </c>
      <c r="F336" t="s">
        <v>183</v>
      </c>
      <c r="J336" t="s">
        <v>24</v>
      </c>
      <c r="K336">
        <v>1983</v>
      </c>
      <c r="L336" t="s">
        <v>37</v>
      </c>
      <c r="M336">
        <v>1452</v>
      </c>
      <c r="N336">
        <v>3</v>
      </c>
      <c r="O336">
        <v>2</v>
      </c>
      <c r="P336" t="s">
        <v>187</v>
      </c>
      <c r="Q336">
        <v>33.333537989916998</v>
      </c>
      <c r="R336">
        <v>-111.830413812692</v>
      </c>
    </row>
    <row r="337" spans="1:18" x14ac:dyDescent="0.3">
      <c r="A337" t="s">
        <v>396</v>
      </c>
      <c r="B337">
        <v>85283</v>
      </c>
      <c r="C337" t="s">
        <v>189</v>
      </c>
      <c r="D337" t="s">
        <v>182</v>
      </c>
      <c r="E337" t="s">
        <v>22</v>
      </c>
      <c r="F337" t="s">
        <v>183</v>
      </c>
      <c r="J337" t="s">
        <v>24</v>
      </c>
      <c r="K337">
        <v>1974</v>
      </c>
      <c r="L337" t="s">
        <v>37</v>
      </c>
      <c r="M337">
        <v>1284</v>
      </c>
      <c r="N337">
        <v>3</v>
      </c>
      <c r="O337">
        <v>2</v>
      </c>
      <c r="P337" t="s">
        <v>194</v>
      </c>
      <c r="Q337">
        <v>33.357498204968003</v>
      </c>
      <c r="R337">
        <v>-111.91559599336</v>
      </c>
    </row>
    <row r="338" spans="1:18" x14ac:dyDescent="0.3">
      <c r="A338" t="s">
        <v>397</v>
      </c>
      <c r="B338">
        <v>85283</v>
      </c>
      <c r="C338" t="s">
        <v>189</v>
      </c>
      <c r="D338" t="s">
        <v>182</v>
      </c>
      <c r="E338" t="s">
        <v>22</v>
      </c>
      <c r="F338" t="s">
        <v>183</v>
      </c>
      <c r="J338" t="s">
        <v>24</v>
      </c>
      <c r="K338">
        <v>1986</v>
      </c>
      <c r="L338" t="s">
        <v>37</v>
      </c>
      <c r="M338">
        <v>1412</v>
      </c>
      <c r="N338">
        <v>3</v>
      </c>
      <c r="O338">
        <v>2</v>
      </c>
      <c r="P338" t="s">
        <v>187</v>
      </c>
      <c r="Q338">
        <v>33.356662696858997</v>
      </c>
      <c r="R338">
        <v>-111.949729952938</v>
      </c>
    </row>
    <row r="339" spans="1:18" x14ac:dyDescent="0.3">
      <c r="A339" t="s">
        <v>398</v>
      </c>
      <c r="B339">
        <v>85257</v>
      </c>
      <c r="C339" t="s">
        <v>309</v>
      </c>
      <c r="D339" t="s">
        <v>182</v>
      </c>
      <c r="E339" t="s">
        <v>22</v>
      </c>
      <c r="F339" t="s">
        <v>183</v>
      </c>
      <c r="J339" t="s">
        <v>24</v>
      </c>
      <c r="K339">
        <v>1959</v>
      </c>
      <c r="L339" t="s">
        <v>37</v>
      </c>
      <c r="M339">
        <v>1242</v>
      </c>
      <c r="N339">
        <v>3</v>
      </c>
      <c r="O339">
        <v>2</v>
      </c>
      <c r="P339" t="s">
        <v>194</v>
      </c>
      <c r="Q339">
        <v>33.462722773412999</v>
      </c>
      <c r="R339">
        <v>-111.93218989853401</v>
      </c>
    </row>
    <row r="340" spans="1:18" x14ac:dyDescent="0.3">
      <c r="A340" t="s">
        <v>399</v>
      </c>
      <c r="B340">
        <v>85226</v>
      </c>
      <c r="C340" t="s">
        <v>181</v>
      </c>
      <c r="D340" t="s">
        <v>182</v>
      </c>
      <c r="E340" t="s">
        <v>22</v>
      </c>
      <c r="F340" t="s">
        <v>183</v>
      </c>
      <c r="J340" t="s">
        <v>24</v>
      </c>
      <c r="K340">
        <v>1965</v>
      </c>
      <c r="L340" t="s">
        <v>37</v>
      </c>
      <c r="M340">
        <v>1916</v>
      </c>
      <c r="N340">
        <v>4</v>
      </c>
      <c r="O340">
        <v>2</v>
      </c>
      <c r="Q340">
        <v>33.314987119900003</v>
      </c>
      <c r="R340">
        <v>-111.85517127246401</v>
      </c>
    </row>
    <row r="341" spans="1:18" x14ac:dyDescent="0.3">
      <c r="A341" t="s">
        <v>400</v>
      </c>
      <c r="B341">
        <v>85225</v>
      </c>
      <c r="C341" t="s">
        <v>181</v>
      </c>
      <c r="D341" t="s">
        <v>182</v>
      </c>
      <c r="E341" t="s">
        <v>22</v>
      </c>
      <c r="F341" t="s">
        <v>183</v>
      </c>
      <c r="J341" t="s">
        <v>24</v>
      </c>
      <c r="K341">
        <v>1996</v>
      </c>
      <c r="L341" t="s">
        <v>37</v>
      </c>
      <c r="M341">
        <v>1695</v>
      </c>
      <c r="N341">
        <v>3</v>
      </c>
      <c r="O341">
        <v>2</v>
      </c>
      <c r="Q341">
        <v>33.315154967510999</v>
      </c>
      <c r="R341">
        <v>-111.85425571718</v>
      </c>
    </row>
    <row r="342" spans="1:18" x14ac:dyDescent="0.3">
      <c r="A342" t="s">
        <v>401</v>
      </c>
      <c r="B342">
        <v>85283</v>
      </c>
      <c r="C342" t="s">
        <v>189</v>
      </c>
      <c r="D342" t="s">
        <v>182</v>
      </c>
      <c r="E342" t="s">
        <v>22</v>
      </c>
      <c r="F342" t="s">
        <v>183</v>
      </c>
      <c r="J342" t="s">
        <v>24</v>
      </c>
      <c r="K342">
        <v>1979</v>
      </c>
      <c r="L342" t="s">
        <v>37</v>
      </c>
      <c r="M342">
        <v>1035</v>
      </c>
      <c r="N342">
        <v>2</v>
      </c>
      <c r="O342">
        <v>1</v>
      </c>
      <c r="P342" t="s">
        <v>198</v>
      </c>
      <c r="Q342">
        <v>33.375759103044999</v>
      </c>
      <c r="R342">
        <v>-111.929832488266</v>
      </c>
    </row>
    <row r="343" spans="1:18" x14ac:dyDescent="0.3">
      <c r="A343" t="s">
        <v>402</v>
      </c>
      <c r="B343">
        <v>85345</v>
      </c>
      <c r="C343" t="s">
        <v>208</v>
      </c>
      <c r="D343" t="s">
        <v>182</v>
      </c>
      <c r="E343" t="s">
        <v>22</v>
      </c>
      <c r="F343" t="s">
        <v>183</v>
      </c>
      <c r="J343" t="s">
        <v>24</v>
      </c>
      <c r="K343">
        <v>1984</v>
      </c>
      <c r="L343" t="s">
        <v>37</v>
      </c>
      <c r="M343">
        <v>1024</v>
      </c>
      <c r="N343">
        <v>3</v>
      </c>
      <c r="O343">
        <v>2</v>
      </c>
      <c r="P343" t="s">
        <v>187</v>
      </c>
      <c r="Q343">
        <v>33.573570299695</v>
      </c>
      <c r="R343">
        <v>-112.211052045324</v>
      </c>
    </row>
    <row r="344" spans="1:18" x14ac:dyDescent="0.3">
      <c r="A344" t="s">
        <v>403</v>
      </c>
      <c r="B344">
        <v>85245</v>
      </c>
      <c r="C344" t="s">
        <v>208</v>
      </c>
      <c r="D344" t="s">
        <v>182</v>
      </c>
      <c r="E344" t="s">
        <v>22</v>
      </c>
      <c r="F344" t="s">
        <v>183</v>
      </c>
      <c r="J344" t="s">
        <v>24</v>
      </c>
      <c r="K344">
        <v>1984</v>
      </c>
      <c r="L344" t="s">
        <v>37</v>
      </c>
      <c r="M344">
        <v>1140</v>
      </c>
      <c r="N344">
        <v>3</v>
      </c>
      <c r="O344">
        <v>2</v>
      </c>
      <c r="P344" t="s">
        <v>187</v>
      </c>
      <c r="Q344">
        <v>33.591045436259002</v>
      </c>
      <c r="R344">
        <v>-112.212493984128</v>
      </c>
    </row>
    <row r="345" spans="1:18" x14ac:dyDescent="0.3">
      <c r="A345" t="s">
        <v>404</v>
      </c>
      <c r="B345">
        <v>85225</v>
      </c>
      <c r="C345" t="s">
        <v>181</v>
      </c>
      <c r="D345" t="s">
        <v>182</v>
      </c>
      <c r="E345" t="s">
        <v>22</v>
      </c>
      <c r="F345" t="s">
        <v>183</v>
      </c>
      <c r="J345" t="s">
        <v>24</v>
      </c>
      <c r="K345">
        <v>1961</v>
      </c>
      <c r="L345" t="s">
        <v>37</v>
      </c>
      <c r="M345">
        <v>1163</v>
      </c>
      <c r="N345">
        <v>2</v>
      </c>
      <c r="O345">
        <v>2</v>
      </c>
      <c r="P345" t="s">
        <v>190</v>
      </c>
      <c r="Q345">
        <v>33.318870539460001</v>
      </c>
      <c r="R345">
        <v>-111.85282903344</v>
      </c>
    </row>
    <row r="346" spans="1:18" x14ac:dyDescent="0.3">
      <c r="A346" t="s">
        <v>405</v>
      </c>
      <c r="B346">
        <v>85225</v>
      </c>
      <c r="C346" t="s">
        <v>181</v>
      </c>
      <c r="D346" t="s">
        <v>182</v>
      </c>
      <c r="E346" t="s">
        <v>22</v>
      </c>
      <c r="F346" t="s">
        <v>183</v>
      </c>
      <c r="J346" t="s">
        <v>24</v>
      </c>
      <c r="K346">
        <v>1997</v>
      </c>
      <c r="L346" t="s">
        <v>37</v>
      </c>
      <c r="M346">
        <v>1310</v>
      </c>
      <c r="N346">
        <v>3</v>
      </c>
      <c r="O346">
        <v>2</v>
      </c>
      <c r="P346" t="s">
        <v>187</v>
      </c>
      <c r="Q346">
        <v>33.295681040406002</v>
      </c>
      <c r="R346">
        <v>-111.830017013396</v>
      </c>
    </row>
    <row r="347" spans="1:18" x14ac:dyDescent="0.3">
      <c r="A347" t="s">
        <v>406</v>
      </c>
      <c r="B347">
        <v>85303</v>
      </c>
      <c r="C347" t="s">
        <v>262</v>
      </c>
      <c r="D347" t="s">
        <v>182</v>
      </c>
      <c r="E347" t="s">
        <v>22</v>
      </c>
      <c r="F347" t="s">
        <v>183</v>
      </c>
      <c r="J347" t="s">
        <v>24</v>
      </c>
      <c r="K347">
        <v>2007</v>
      </c>
      <c r="L347" t="s">
        <v>37</v>
      </c>
      <c r="M347">
        <v>2055</v>
      </c>
      <c r="N347">
        <v>4</v>
      </c>
      <c r="O347">
        <v>2</v>
      </c>
      <c r="P347" t="s">
        <v>187</v>
      </c>
      <c r="Q347">
        <v>33.542869483838999</v>
      </c>
      <c r="R347">
        <v>-112.213798459719</v>
      </c>
    </row>
    <row r="348" spans="1:18" x14ac:dyDescent="0.3">
      <c r="A348" t="s">
        <v>407</v>
      </c>
      <c r="B348">
        <v>85257</v>
      </c>
      <c r="C348" t="s">
        <v>309</v>
      </c>
      <c r="D348" t="s">
        <v>182</v>
      </c>
      <c r="E348" t="s">
        <v>22</v>
      </c>
      <c r="F348" t="s">
        <v>183</v>
      </c>
      <c r="J348" t="s">
        <v>24</v>
      </c>
      <c r="K348">
        <v>1960</v>
      </c>
      <c r="L348" t="s">
        <v>37</v>
      </c>
      <c r="M348">
        <v>1589</v>
      </c>
      <c r="N348">
        <v>4</v>
      </c>
      <c r="O348">
        <v>2</v>
      </c>
      <c r="P348" t="s">
        <v>190</v>
      </c>
      <c r="Q348">
        <v>33.458526666955002</v>
      </c>
      <c r="R348">
        <v>-111.92192843738999</v>
      </c>
    </row>
    <row r="349" spans="1:18" x14ac:dyDescent="0.3">
      <c r="A349" t="s">
        <v>408</v>
      </c>
      <c r="B349">
        <v>85225</v>
      </c>
      <c r="C349" t="s">
        <v>181</v>
      </c>
      <c r="D349" t="s">
        <v>182</v>
      </c>
      <c r="E349" t="s">
        <v>22</v>
      </c>
      <c r="F349" t="s">
        <v>183</v>
      </c>
      <c r="J349" t="s">
        <v>24</v>
      </c>
      <c r="K349">
        <v>1996</v>
      </c>
      <c r="L349" t="s">
        <v>37</v>
      </c>
      <c r="M349">
        <v>1152</v>
      </c>
      <c r="N349">
        <v>3</v>
      </c>
      <c r="O349">
        <v>2</v>
      </c>
      <c r="P349" t="s">
        <v>187</v>
      </c>
      <c r="Q349">
        <v>33.315830129810998</v>
      </c>
      <c r="R349">
        <v>-111.836456410511</v>
      </c>
    </row>
    <row r="350" spans="1:18" x14ac:dyDescent="0.3">
      <c r="A350" t="s">
        <v>409</v>
      </c>
      <c r="B350">
        <v>85225</v>
      </c>
      <c r="C350" t="s">
        <v>181</v>
      </c>
      <c r="D350" t="s">
        <v>182</v>
      </c>
      <c r="E350" t="s">
        <v>22</v>
      </c>
      <c r="F350" t="s">
        <v>183</v>
      </c>
      <c r="J350" t="s">
        <v>24</v>
      </c>
      <c r="K350">
        <v>1972</v>
      </c>
      <c r="L350" t="s">
        <v>37</v>
      </c>
      <c r="M350">
        <v>1633</v>
      </c>
      <c r="N350">
        <v>3</v>
      </c>
      <c r="O350">
        <v>2</v>
      </c>
      <c r="P350" t="s">
        <v>194</v>
      </c>
      <c r="Q350">
        <v>33.315795847826998</v>
      </c>
      <c r="R350">
        <v>-111.857704199784</v>
      </c>
    </row>
    <row r="351" spans="1:18" x14ac:dyDescent="0.3">
      <c r="A351" t="s">
        <v>410</v>
      </c>
      <c r="B351">
        <v>85257</v>
      </c>
      <c r="C351" t="s">
        <v>309</v>
      </c>
      <c r="D351" t="s">
        <v>182</v>
      </c>
      <c r="E351" t="s">
        <v>22</v>
      </c>
      <c r="F351" t="s">
        <v>183</v>
      </c>
      <c r="J351" t="s">
        <v>24</v>
      </c>
      <c r="K351">
        <v>1960</v>
      </c>
      <c r="L351" t="s">
        <v>37</v>
      </c>
      <c r="M351">
        <v>1291</v>
      </c>
      <c r="N351">
        <v>3</v>
      </c>
      <c r="O351">
        <v>2</v>
      </c>
      <c r="P351" t="s">
        <v>190</v>
      </c>
      <c r="Q351">
        <v>33.456321723506001</v>
      </c>
      <c r="R351">
        <v>-111.919364916123</v>
      </c>
    </row>
    <row r="352" spans="1:18" x14ac:dyDescent="0.3">
      <c r="A352" t="s">
        <v>411</v>
      </c>
      <c r="B352">
        <v>85224</v>
      </c>
      <c r="C352" t="s">
        <v>181</v>
      </c>
      <c r="D352" t="s">
        <v>182</v>
      </c>
      <c r="E352" t="s">
        <v>22</v>
      </c>
      <c r="F352" t="s">
        <v>183</v>
      </c>
      <c r="J352" t="s">
        <v>24</v>
      </c>
      <c r="K352">
        <v>1975</v>
      </c>
      <c r="L352" t="s">
        <v>37</v>
      </c>
      <c r="M352">
        <v>1747</v>
      </c>
      <c r="N352">
        <v>4</v>
      </c>
      <c r="O352">
        <v>2</v>
      </c>
      <c r="P352" t="s">
        <v>187</v>
      </c>
      <c r="Q352">
        <v>33.321735390146003</v>
      </c>
      <c r="R352">
        <v>-111.853607209331</v>
      </c>
    </row>
    <row r="353" spans="1:18" x14ac:dyDescent="0.3">
      <c r="A353" t="s">
        <v>412</v>
      </c>
      <c r="B353">
        <v>85257</v>
      </c>
      <c r="C353" t="s">
        <v>309</v>
      </c>
      <c r="D353" t="s">
        <v>182</v>
      </c>
      <c r="E353" t="s">
        <v>22</v>
      </c>
      <c r="F353" t="s">
        <v>183</v>
      </c>
      <c r="J353" t="s">
        <v>24</v>
      </c>
      <c r="K353">
        <v>1968</v>
      </c>
      <c r="L353" t="s">
        <v>37</v>
      </c>
      <c r="M353">
        <v>1074</v>
      </c>
      <c r="N353">
        <v>2</v>
      </c>
      <c r="O353">
        <v>2</v>
      </c>
      <c r="P353" t="s">
        <v>198</v>
      </c>
      <c r="Q353">
        <v>33.459995218301003</v>
      </c>
      <c r="R353">
        <v>-111.913078321104</v>
      </c>
    </row>
    <row r="354" spans="1:18" x14ac:dyDescent="0.3">
      <c r="A354" t="s">
        <v>413</v>
      </c>
      <c r="B354">
        <v>85257</v>
      </c>
      <c r="C354" t="s">
        <v>309</v>
      </c>
      <c r="D354" t="s">
        <v>182</v>
      </c>
      <c r="E354" t="s">
        <v>22</v>
      </c>
      <c r="F354" t="s">
        <v>183</v>
      </c>
      <c r="J354" t="s">
        <v>24</v>
      </c>
      <c r="K354">
        <v>1958</v>
      </c>
      <c r="L354" t="s">
        <v>37</v>
      </c>
      <c r="M354">
        <v>1092</v>
      </c>
      <c r="N354">
        <v>3</v>
      </c>
      <c r="O354">
        <v>2</v>
      </c>
      <c r="P354" t="s">
        <v>190</v>
      </c>
      <c r="Q354">
        <v>33.46148686179</v>
      </c>
      <c r="R354">
        <v>-111.912910515402</v>
      </c>
    </row>
    <row r="355" spans="1:18" x14ac:dyDescent="0.3">
      <c r="A355" t="s">
        <v>414</v>
      </c>
      <c r="B355">
        <v>85257</v>
      </c>
      <c r="C355" t="s">
        <v>309</v>
      </c>
      <c r="D355" t="s">
        <v>182</v>
      </c>
      <c r="E355" t="s">
        <v>22</v>
      </c>
      <c r="F355" t="s">
        <v>183</v>
      </c>
      <c r="J355" t="s">
        <v>24</v>
      </c>
      <c r="K355">
        <v>1964</v>
      </c>
      <c r="L355" t="s">
        <v>37</v>
      </c>
      <c r="M355">
        <v>1145</v>
      </c>
      <c r="N355">
        <v>4</v>
      </c>
      <c r="O355">
        <v>1</v>
      </c>
      <c r="P355" t="s">
        <v>190</v>
      </c>
      <c r="Q355">
        <v>33.458515099929002</v>
      </c>
      <c r="R355">
        <v>-111.91222386989401</v>
      </c>
    </row>
    <row r="356" spans="1:18" x14ac:dyDescent="0.3">
      <c r="A356" t="s">
        <v>415</v>
      </c>
      <c r="B356">
        <v>85301</v>
      </c>
      <c r="C356" t="s">
        <v>262</v>
      </c>
      <c r="D356" t="s">
        <v>182</v>
      </c>
      <c r="E356" t="s">
        <v>22</v>
      </c>
      <c r="F356" t="s">
        <v>183</v>
      </c>
      <c r="J356" t="s">
        <v>24</v>
      </c>
      <c r="K356">
        <v>1999</v>
      </c>
      <c r="L356" t="s">
        <v>37</v>
      </c>
      <c r="M356">
        <v>1336</v>
      </c>
      <c r="N356">
        <v>3</v>
      </c>
      <c r="O356">
        <v>2</v>
      </c>
      <c r="P356" t="s">
        <v>187</v>
      </c>
      <c r="Q356">
        <v>33.551155120856997</v>
      </c>
      <c r="R356">
        <v>-112.17697147846999</v>
      </c>
    </row>
    <row r="357" spans="1:18" x14ac:dyDescent="0.3">
      <c r="A357" t="s">
        <v>416</v>
      </c>
      <c r="B357">
        <v>85208</v>
      </c>
      <c r="C357" t="s">
        <v>186</v>
      </c>
      <c r="D357" t="s">
        <v>182</v>
      </c>
      <c r="E357" t="s">
        <v>22</v>
      </c>
      <c r="F357" t="s">
        <v>183</v>
      </c>
      <c r="J357" t="s">
        <v>24</v>
      </c>
      <c r="K357">
        <v>1973</v>
      </c>
      <c r="L357" t="s">
        <v>37</v>
      </c>
      <c r="M357">
        <v>1044</v>
      </c>
      <c r="N357">
        <v>2</v>
      </c>
      <c r="O357">
        <v>2</v>
      </c>
      <c r="Q357">
        <v>33.411003078059998</v>
      </c>
      <c r="R357">
        <v>-111.65995020962301</v>
      </c>
    </row>
    <row r="358" spans="1:18" x14ac:dyDescent="0.3">
      <c r="A358" t="s">
        <v>417</v>
      </c>
      <c r="B358">
        <v>85225</v>
      </c>
      <c r="C358" t="s">
        <v>181</v>
      </c>
      <c r="D358" t="s">
        <v>182</v>
      </c>
      <c r="E358" t="s">
        <v>22</v>
      </c>
      <c r="F358" t="s">
        <v>183</v>
      </c>
      <c r="J358" t="s">
        <v>24</v>
      </c>
      <c r="K358">
        <v>1979</v>
      </c>
      <c r="L358" t="s">
        <v>37</v>
      </c>
      <c r="M358">
        <v>1168</v>
      </c>
      <c r="N358">
        <v>2</v>
      </c>
      <c r="O358">
        <v>2</v>
      </c>
      <c r="P358" t="s">
        <v>187</v>
      </c>
      <c r="Q358">
        <v>33.304508190278</v>
      </c>
      <c r="R358">
        <v>-111.801605211479</v>
      </c>
    </row>
    <row r="359" spans="1:18" x14ac:dyDescent="0.3">
      <c r="A359" t="s">
        <v>418</v>
      </c>
      <c r="B359">
        <v>85225</v>
      </c>
      <c r="C359" t="s">
        <v>181</v>
      </c>
      <c r="D359" t="s">
        <v>182</v>
      </c>
      <c r="E359" t="s">
        <v>22</v>
      </c>
      <c r="F359" t="s">
        <v>183</v>
      </c>
      <c r="J359" t="s">
        <v>24</v>
      </c>
      <c r="K359">
        <v>1971</v>
      </c>
      <c r="L359" t="s">
        <v>37</v>
      </c>
      <c r="M359">
        <v>1197</v>
      </c>
      <c r="N359">
        <v>3</v>
      </c>
      <c r="O359">
        <v>2</v>
      </c>
      <c r="P359" t="s">
        <v>198</v>
      </c>
      <c r="Q359">
        <v>33.319641129727998</v>
      </c>
      <c r="R359">
        <v>-111.85542306483499</v>
      </c>
    </row>
    <row r="360" spans="1:18" x14ac:dyDescent="0.3">
      <c r="A360" t="s">
        <v>419</v>
      </c>
      <c r="B360">
        <v>85225</v>
      </c>
      <c r="C360" t="s">
        <v>181</v>
      </c>
      <c r="D360" t="s">
        <v>182</v>
      </c>
      <c r="E360" t="s">
        <v>22</v>
      </c>
      <c r="F360" t="s">
        <v>183</v>
      </c>
      <c r="J360" t="s">
        <v>24</v>
      </c>
      <c r="K360">
        <v>1995</v>
      </c>
      <c r="L360" t="s">
        <v>37</v>
      </c>
      <c r="M360">
        <v>1490</v>
      </c>
      <c r="N360">
        <v>3</v>
      </c>
      <c r="O360">
        <v>2</v>
      </c>
      <c r="P360" t="s">
        <v>187</v>
      </c>
      <c r="Q360">
        <v>33.317436228188001</v>
      </c>
      <c r="R360">
        <v>-111.83206177867601</v>
      </c>
    </row>
    <row r="361" spans="1:18" x14ac:dyDescent="0.3">
      <c r="A361" t="s">
        <v>420</v>
      </c>
      <c r="B361">
        <v>85345</v>
      </c>
      <c r="C361" t="s">
        <v>208</v>
      </c>
      <c r="D361" t="s">
        <v>182</v>
      </c>
      <c r="E361" t="s">
        <v>22</v>
      </c>
      <c r="F361" t="s">
        <v>183</v>
      </c>
      <c r="J361" t="s">
        <v>24</v>
      </c>
      <c r="K361">
        <v>2002</v>
      </c>
      <c r="L361" t="s">
        <v>37</v>
      </c>
      <c r="M361">
        <v>1585</v>
      </c>
      <c r="N361">
        <v>3</v>
      </c>
      <c r="O361">
        <v>2</v>
      </c>
      <c r="P361" t="s">
        <v>187</v>
      </c>
      <c r="Q361">
        <v>33.551712056413002</v>
      </c>
      <c r="R361">
        <v>-112.297187751297</v>
      </c>
    </row>
    <row r="362" spans="1:18" x14ac:dyDescent="0.3">
      <c r="A362" t="s">
        <v>421</v>
      </c>
      <c r="B362">
        <v>85283</v>
      </c>
      <c r="C362" t="s">
        <v>189</v>
      </c>
      <c r="D362" t="s">
        <v>182</v>
      </c>
      <c r="E362" t="s">
        <v>22</v>
      </c>
      <c r="F362" t="s">
        <v>183</v>
      </c>
      <c r="J362" t="s">
        <v>24</v>
      </c>
      <c r="K362">
        <v>1979</v>
      </c>
      <c r="L362" t="s">
        <v>37</v>
      </c>
      <c r="M362">
        <v>1200</v>
      </c>
      <c r="N362">
        <v>3</v>
      </c>
      <c r="O362">
        <v>2</v>
      </c>
      <c r="P362" t="s">
        <v>187</v>
      </c>
      <c r="Q362">
        <v>33.365806556942999</v>
      </c>
      <c r="R362">
        <v>-111.95120231804999</v>
      </c>
    </row>
    <row r="363" spans="1:18" x14ac:dyDescent="0.3">
      <c r="A363" t="s">
        <v>422</v>
      </c>
      <c r="B363">
        <v>85041</v>
      </c>
      <c r="C363" t="s">
        <v>225</v>
      </c>
      <c r="D363" t="s">
        <v>182</v>
      </c>
      <c r="E363" t="s">
        <v>22</v>
      </c>
      <c r="F363" t="s">
        <v>183</v>
      </c>
      <c r="J363" t="s">
        <v>24</v>
      </c>
      <c r="K363">
        <v>2016</v>
      </c>
      <c r="L363" t="s">
        <v>37</v>
      </c>
      <c r="M363">
        <v>1351</v>
      </c>
      <c r="N363">
        <v>3</v>
      </c>
      <c r="O363">
        <v>2</v>
      </c>
      <c r="Q363">
        <v>33.372814121364001</v>
      </c>
      <c r="R363">
        <v>-112.08042142543999</v>
      </c>
    </row>
    <row r="364" spans="1:18" x14ac:dyDescent="0.3">
      <c r="A364" t="s">
        <v>423</v>
      </c>
      <c r="B364">
        <v>85283</v>
      </c>
      <c r="C364" t="s">
        <v>189</v>
      </c>
      <c r="D364" t="s">
        <v>182</v>
      </c>
      <c r="E364" t="s">
        <v>22</v>
      </c>
      <c r="F364" t="s">
        <v>183</v>
      </c>
      <c r="J364" t="s">
        <v>24</v>
      </c>
      <c r="K364">
        <v>1979</v>
      </c>
      <c r="L364" t="s">
        <v>37</v>
      </c>
      <c r="M364">
        <v>1233</v>
      </c>
      <c r="N364">
        <v>3</v>
      </c>
      <c r="O364">
        <v>2</v>
      </c>
      <c r="P364" t="s">
        <v>198</v>
      </c>
      <c r="Q364">
        <v>33.365005414636997</v>
      </c>
      <c r="R364">
        <v>-111.951454110421</v>
      </c>
    </row>
    <row r="365" spans="1:18" x14ac:dyDescent="0.3">
      <c r="A365" t="s">
        <v>424</v>
      </c>
      <c r="B365">
        <v>85225</v>
      </c>
      <c r="C365" t="s">
        <v>181</v>
      </c>
      <c r="D365" t="s">
        <v>182</v>
      </c>
      <c r="E365" t="s">
        <v>22</v>
      </c>
      <c r="F365" t="s">
        <v>183</v>
      </c>
      <c r="J365" t="s">
        <v>24</v>
      </c>
      <c r="K365">
        <v>1971</v>
      </c>
      <c r="L365" t="s">
        <v>37</v>
      </c>
      <c r="M365">
        <v>1016</v>
      </c>
      <c r="N365">
        <v>3</v>
      </c>
      <c r="O365">
        <v>1</v>
      </c>
      <c r="P365" t="s">
        <v>190</v>
      </c>
      <c r="Q365">
        <v>33.310512482798998</v>
      </c>
      <c r="R365">
        <v>-111.82801826476501</v>
      </c>
    </row>
    <row r="366" spans="1:18" x14ac:dyDescent="0.3">
      <c r="A366" t="s">
        <v>425</v>
      </c>
      <c r="B366">
        <v>85283</v>
      </c>
      <c r="C366" t="s">
        <v>189</v>
      </c>
      <c r="D366" t="s">
        <v>182</v>
      </c>
      <c r="E366" t="s">
        <v>22</v>
      </c>
      <c r="F366" t="s">
        <v>183</v>
      </c>
      <c r="J366" t="s">
        <v>24</v>
      </c>
      <c r="K366">
        <v>1978</v>
      </c>
      <c r="L366" t="s">
        <v>37</v>
      </c>
      <c r="M366">
        <v>1071</v>
      </c>
      <c r="N366">
        <v>3</v>
      </c>
      <c r="O366">
        <v>2</v>
      </c>
      <c r="P366" t="s">
        <v>187</v>
      </c>
      <c r="Q366">
        <v>33.368938538883</v>
      </c>
      <c r="R366">
        <v>-111.95313258653201</v>
      </c>
    </row>
    <row r="367" spans="1:18" x14ac:dyDescent="0.3">
      <c r="A367" t="s">
        <v>426</v>
      </c>
      <c r="B367">
        <v>85257</v>
      </c>
      <c r="C367" t="s">
        <v>309</v>
      </c>
      <c r="D367" t="s">
        <v>182</v>
      </c>
      <c r="E367" t="s">
        <v>22</v>
      </c>
      <c r="F367" t="s">
        <v>183</v>
      </c>
      <c r="J367" t="s">
        <v>24</v>
      </c>
      <c r="K367">
        <v>1960</v>
      </c>
      <c r="L367" t="s">
        <v>37</v>
      </c>
      <c r="M367">
        <v>1092</v>
      </c>
      <c r="N367">
        <v>3</v>
      </c>
      <c r="O367">
        <v>2</v>
      </c>
      <c r="P367" t="s">
        <v>190</v>
      </c>
      <c r="Q367">
        <v>33.457191471689001</v>
      </c>
      <c r="R367">
        <v>-111.925308272208</v>
      </c>
    </row>
    <row r="368" spans="1:18" x14ac:dyDescent="0.3">
      <c r="A368" t="s">
        <v>427</v>
      </c>
      <c r="B368">
        <v>85345</v>
      </c>
      <c r="C368" t="s">
        <v>208</v>
      </c>
      <c r="D368" t="s">
        <v>182</v>
      </c>
      <c r="E368" t="s">
        <v>22</v>
      </c>
      <c r="F368" t="s">
        <v>183</v>
      </c>
      <c r="J368" t="s">
        <v>24</v>
      </c>
      <c r="K368">
        <v>1999</v>
      </c>
      <c r="L368" t="s">
        <v>37</v>
      </c>
      <c r="M368">
        <v>1076</v>
      </c>
      <c r="N368">
        <v>3</v>
      </c>
      <c r="O368">
        <v>2</v>
      </c>
      <c r="P368" t="s">
        <v>187</v>
      </c>
      <c r="Q368">
        <v>33.556869525255998</v>
      </c>
      <c r="R368">
        <v>-112.29959101057599</v>
      </c>
    </row>
    <row r="369" spans="1:18" x14ac:dyDescent="0.3">
      <c r="A369" t="s">
        <v>428</v>
      </c>
      <c r="B369">
        <v>85225</v>
      </c>
      <c r="C369" t="s">
        <v>181</v>
      </c>
      <c r="D369" t="s">
        <v>182</v>
      </c>
      <c r="E369" t="s">
        <v>22</v>
      </c>
      <c r="F369" t="s">
        <v>183</v>
      </c>
      <c r="J369" t="s">
        <v>24</v>
      </c>
      <c r="K369">
        <v>1998</v>
      </c>
      <c r="L369" t="s">
        <v>37</v>
      </c>
      <c r="M369">
        <v>1300</v>
      </c>
      <c r="N369">
        <v>3</v>
      </c>
      <c r="O369">
        <v>2</v>
      </c>
      <c r="P369" t="s">
        <v>187</v>
      </c>
      <c r="Q369">
        <v>33.314617142693002</v>
      </c>
      <c r="R369">
        <v>-111.827964788223</v>
      </c>
    </row>
    <row r="370" spans="1:18" x14ac:dyDescent="0.3">
      <c r="A370" t="s">
        <v>429</v>
      </c>
      <c r="B370">
        <v>85251</v>
      </c>
      <c r="C370" t="s">
        <v>309</v>
      </c>
      <c r="D370" t="s">
        <v>182</v>
      </c>
      <c r="E370" t="s">
        <v>22</v>
      </c>
      <c r="F370" t="s">
        <v>183</v>
      </c>
      <c r="J370" t="s">
        <v>24</v>
      </c>
      <c r="K370">
        <v>1958</v>
      </c>
      <c r="L370" t="s">
        <v>37</v>
      </c>
      <c r="M370">
        <v>1416</v>
      </c>
      <c r="N370">
        <v>3</v>
      </c>
      <c r="O370">
        <v>2</v>
      </c>
      <c r="P370" t="s">
        <v>190</v>
      </c>
      <c r="Q370">
        <v>33.492664398389003</v>
      </c>
      <c r="R370">
        <v>-111.901687566145</v>
      </c>
    </row>
    <row r="371" spans="1:18" x14ac:dyDescent="0.3">
      <c r="A371" t="s">
        <v>430</v>
      </c>
      <c r="B371">
        <v>85225</v>
      </c>
      <c r="C371" t="s">
        <v>181</v>
      </c>
      <c r="D371" t="s">
        <v>182</v>
      </c>
      <c r="E371" t="s">
        <v>22</v>
      </c>
      <c r="F371" t="s">
        <v>183</v>
      </c>
      <c r="J371" t="s">
        <v>24</v>
      </c>
      <c r="K371">
        <v>1980</v>
      </c>
      <c r="L371" t="s">
        <v>37</v>
      </c>
      <c r="M371">
        <v>1462</v>
      </c>
      <c r="N371">
        <v>3</v>
      </c>
      <c r="O371">
        <v>2</v>
      </c>
      <c r="P371" t="s">
        <v>187</v>
      </c>
      <c r="Q371">
        <v>33.342819145575</v>
      </c>
      <c r="R371">
        <v>-111.85512550727201</v>
      </c>
    </row>
    <row r="372" spans="1:18" x14ac:dyDescent="0.3">
      <c r="A372" t="s">
        <v>431</v>
      </c>
      <c r="B372">
        <v>85345</v>
      </c>
      <c r="C372" t="s">
        <v>208</v>
      </c>
      <c r="D372" t="s">
        <v>182</v>
      </c>
      <c r="E372" t="s">
        <v>22</v>
      </c>
      <c r="F372" t="s">
        <v>183</v>
      </c>
      <c r="J372" t="s">
        <v>24</v>
      </c>
      <c r="K372">
        <v>1995</v>
      </c>
      <c r="L372" t="s">
        <v>37</v>
      </c>
      <c r="M372">
        <v>1284</v>
      </c>
      <c r="N372">
        <v>3</v>
      </c>
      <c r="O372">
        <v>2</v>
      </c>
      <c r="P372" t="s">
        <v>187</v>
      </c>
      <c r="Q372">
        <v>33.594856226628004</v>
      </c>
      <c r="R372">
        <v>-112.24552153248599</v>
      </c>
    </row>
    <row r="373" spans="1:18" x14ac:dyDescent="0.3">
      <c r="A373" t="s">
        <v>432</v>
      </c>
      <c r="B373">
        <v>85225</v>
      </c>
      <c r="C373" t="s">
        <v>181</v>
      </c>
      <c r="D373" t="s">
        <v>182</v>
      </c>
      <c r="E373" t="s">
        <v>22</v>
      </c>
      <c r="F373" t="s">
        <v>183</v>
      </c>
      <c r="J373" t="s">
        <v>24</v>
      </c>
      <c r="K373">
        <v>1956</v>
      </c>
      <c r="L373" t="s">
        <v>37</v>
      </c>
      <c r="M373">
        <v>1164</v>
      </c>
      <c r="N373">
        <v>3</v>
      </c>
      <c r="O373">
        <v>2</v>
      </c>
      <c r="P373" t="s">
        <v>190</v>
      </c>
      <c r="Q373">
        <v>33.318496706578003</v>
      </c>
      <c r="R373">
        <v>-111.843383802028</v>
      </c>
    </row>
    <row r="374" spans="1:18" x14ac:dyDescent="0.3">
      <c r="A374" t="s">
        <v>433</v>
      </c>
      <c r="B374">
        <v>85225</v>
      </c>
      <c r="C374" t="s">
        <v>181</v>
      </c>
      <c r="D374" t="s">
        <v>182</v>
      </c>
      <c r="E374" t="s">
        <v>22</v>
      </c>
      <c r="F374" t="s">
        <v>183</v>
      </c>
      <c r="J374" t="s">
        <v>24</v>
      </c>
      <c r="K374">
        <v>1993</v>
      </c>
      <c r="L374" t="s">
        <v>37</v>
      </c>
      <c r="M374">
        <v>2343</v>
      </c>
      <c r="N374">
        <v>4</v>
      </c>
      <c r="O374">
        <v>2</v>
      </c>
      <c r="P374" t="s">
        <v>187</v>
      </c>
      <c r="Q374">
        <v>33.299545223498001</v>
      </c>
      <c r="R374">
        <v>-111.827362045565</v>
      </c>
    </row>
    <row r="375" spans="1:18" x14ac:dyDescent="0.3">
      <c r="A375" t="s">
        <v>434</v>
      </c>
      <c r="B375">
        <v>85225</v>
      </c>
      <c r="C375" t="s">
        <v>181</v>
      </c>
      <c r="D375" t="s">
        <v>182</v>
      </c>
      <c r="E375" t="s">
        <v>22</v>
      </c>
      <c r="F375" t="s">
        <v>183</v>
      </c>
      <c r="H375">
        <v>8</v>
      </c>
      <c r="J375" t="s">
        <v>24</v>
      </c>
      <c r="K375">
        <v>1986</v>
      </c>
      <c r="L375" t="s">
        <v>27</v>
      </c>
      <c r="M375">
        <v>1116</v>
      </c>
      <c r="N375">
        <v>3</v>
      </c>
      <c r="O375">
        <v>2</v>
      </c>
      <c r="P375" t="s">
        <v>184</v>
      </c>
      <c r="Q375">
        <v>33.292320274418003</v>
      </c>
      <c r="R375">
        <v>-111.847152640972</v>
      </c>
    </row>
    <row r="376" spans="1:18" x14ac:dyDescent="0.3">
      <c r="A376" t="s">
        <v>435</v>
      </c>
      <c r="B376">
        <v>85381</v>
      </c>
      <c r="C376" t="s">
        <v>208</v>
      </c>
      <c r="D376" t="s">
        <v>182</v>
      </c>
      <c r="E376" t="s">
        <v>22</v>
      </c>
      <c r="F376" t="s">
        <v>183</v>
      </c>
      <c r="J376" t="s">
        <v>24</v>
      </c>
      <c r="K376">
        <v>2002</v>
      </c>
      <c r="L376" t="s">
        <v>37</v>
      </c>
      <c r="M376">
        <v>1399</v>
      </c>
      <c r="N376">
        <v>3</v>
      </c>
      <c r="O376">
        <v>2</v>
      </c>
      <c r="Q376">
        <v>33.600734706781999</v>
      </c>
      <c r="R376">
        <v>-112.248825008165</v>
      </c>
    </row>
    <row r="377" spans="1:18" x14ac:dyDescent="0.3">
      <c r="A377" t="s">
        <v>436</v>
      </c>
      <c r="B377">
        <v>85353</v>
      </c>
      <c r="C377" t="s">
        <v>437</v>
      </c>
      <c r="D377" t="s">
        <v>182</v>
      </c>
      <c r="E377" t="s">
        <v>22</v>
      </c>
      <c r="F377" t="s">
        <v>183</v>
      </c>
      <c r="J377" t="s">
        <v>24</v>
      </c>
      <c r="K377">
        <v>2005</v>
      </c>
      <c r="L377" t="s">
        <v>37</v>
      </c>
      <c r="M377">
        <v>1784</v>
      </c>
      <c r="N377">
        <v>3</v>
      </c>
      <c r="O377">
        <v>2</v>
      </c>
      <c r="P377" t="s">
        <v>187</v>
      </c>
      <c r="Q377">
        <v>33.424751201376999</v>
      </c>
      <c r="R377">
        <v>-112.250198299182</v>
      </c>
    </row>
    <row r="378" spans="1:18" x14ac:dyDescent="0.3">
      <c r="A378" t="s">
        <v>438</v>
      </c>
      <c r="B378">
        <v>85225</v>
      </c>
      <c r="C378" t="s">
        <v>181</v>
      </c>
      <c r="D378" t="s">
        <v>182</v>
      </c>
      <c r="E378" t="s">
        <v>22</v>
      </c>
      <c r="F378" t="s">
        <v>183</v>
      </c>
      <c r="J378" t="s">
        <v>24</v>
      </c>
      <c r="K378">
        <v>1960</v>
      </c>
      <c r="L378" t="s">
        <v>37</v>
      </c>
      <c r="M378">
        <v>1482</v>
      </c>
      <c r="N378">
        <v>3</v>
      </c>
      <c r="O378">
        <v>2</v>
      </c>
      <c r="P378" t="s">
        <v>198</v>
      </c>
      <c r="Q378">
        <v>33.318599636348999</v>
      </c>
      <c r="R378">
        <v>-111.853446947343</v>
      </c>
    </row>
    <row r="379" spans="1:18" x14ac:dyDescent="0.3">
      <c r="A379" t="s">
        <v>439</v>
      </c>
      <c r="B379">
        <v>85345</v>
      </c>
      <c r="C379" t="s">
        <v>208</v>
      </c>
      <c r="D379" t="s">
        <v>182</v>
      </c>
      <c r="E379" t="s">
        <v>22</v>
      </c>
      <c r="F379" t="s">
        <v>183</v>
      </c>
      <c r="J379" t="s">
        <v>24</v>
      </c>
      <c r="K379">
        <v>1996</v>
      </c>
      <c r="L379" t="s">
        <v>37</v>
      </c>
      <c r="M379">
        <v>990</v>
      </c>
      <c r="N379">
        <v>2</v>
      </c>
      <c r="O379">
        <v>2</v>
      </c>
      <c r="P379" t="s">
        <v>187</v>
      </c>
      <c r="Q379">
        <v>33.564289102128001</v>
      </c>
      <c r="R379">
        <v>-112.305541994192</v>
      </c>
    </row>
    <row r="380" spans="1:18" x14ac:dyDescent="0.3">
      <c r="A380" t="s">
        <v>440</v>
      </c>
      <c r="B380">
        <v>85283</v>
      </c>
      <c r="C380" t="s">
        <v>189</v>
      </c>
      <c r="D380" t="s">
        <v>182</v>
      </c>
      <c r="E380" t="s">
        <v>22</v>
      </c>
      <c r="F380" t="s">
        <v>183</v>
      </c>
      <c r="J380" t="s">
        <v>24</v>
      </c>
      <c r="K380">
        <v>1979</v>
      </c>
      <c r="L380" t="s">
        <v>37</v>
      </c>
      <c r="M380">
        <v>1439</v>
      </c>
      <c r="N380">
        <v>3</v>
      </c>
      <c r="O380">
        <v>2</v>
      </c>
      <c r="P380" t="s">
        <v>190</v>
      </c>
      <c r="Q380">
        <v>33.365325896705002</v>
      </c>
      <c r="R380">
        <v>-111.95283502896901</v>
      </c>
    </row>
    <row r="381" spans="1:18" x14ac:dyDescent="0.3">
      <c r="A381" t="s">
        <v>441</v>
      </c>
      <c r="B381">
        <v>85323</v>
      </c>
      <c r="C381" t="s">
        <v>442</v>
      </c>
      <c r="D381" t="s">
        <v>182</v>
      </c>
      <c r="E381" t="s">
        <v>22</v>
      </c>
      <c r="F381" t="s">
        <v>183</v>
      </c>
      <c r="J381" t="s">
        <v>24</v>
      </c>
      <c r="K381">
        <v>2009</v>
      </c>
      <c r="L381" t="s">
        <v>37</v>
      </c>
      <c r="M381">
        <v>1481</v>
      </c>
      <c r="N381">
        <v>3</v>
      </c>
      <c r="O381">
        <v>2</v>
      </c>
      <c r="P381" t="s">
        <v>187</v>
      </c>
      <c r="Q381">
        <v>33.424999263800999</v>
      </c>
      <c r="R381">
        <v>-112.33979036674801</v>
      </c>
    </row>
    <row r="382" spans="1:18" x14ac:dyDescent="0.3">
      <c r="A382" t="s">
        <v>443</v>
      </c>
      <c r="B382">
        <v>85283</v>
      </c>
      <c r="C382" t="s">
        <v>189</v>
      </c>
      <c r="D382" t="s">
        <v>182</v>
      </c>
      <c r="E382" t="s">
        <v>22</v>
      </c>
      <c r="F382" t="s">
        <v>183</v>
      </c>
      <c r="J382" t="s">
        <v>24</v>
      </c>
      <c r="K382">
        <v>1978</v>
      </c>
      <c r="L382" t="s">
        <v>37</v>
      </c>
      <c r="M382">
        <v>1557</v>
      </c>
      <c r="N382">
        <v>4</v>
      </c>
      <c r="O382">
        <v>2</v>
      </c>
      <c r="Q382">
        <v>33.367401172111997</v>
      </c>
      <c r="R382">
        <v>-111.95368948017899</v>
      </c>
    </row>
    <row r="383" spans="1:18" x14ac:dyDescent="0.3">
      <c r="A383" t="s">
        <v>444</v>
      </c>
      <c r="B383">
        <v>85382</v>
      </c>
      <c r="C383" t="s">
        <v>208</v>
      </c>
      <c r="D383" t="s">
        <v>182</v>
      </c>
      <c r="E383" t="s">
        <v>22</v>
      </c>
      <c r="F383" t="s">
        <v>183</v>
      </c>
      <c r="J383" t="s">
        <v>24</v>
      </c>
      <c r="K383">
        <v>2007</v>
      </c>
      <c r="L383" t="s">
        <v>37</v>
      </c>
      <c r="M383">
        <v>1558</v>
      </c>
      <c r="N383">
        <v>3</v>
      </c>
      <c r="O383">
        <v>2.5</v>
      </c>
      <c r="Q383">
        <v>33.642963405532001</v>
      </c>
      <c r="R383">
        <v>-112.25565340940599</v>
      </c>
    </row>
    <row r="384" spans="1:18" x14ac:dyDescent="0.3">
      <c r="A384" t="s">
        <v>445</v>
      </c>
      <c r="B384">
        <v>85037</v>
      </c>
      <c r="C384" t="s">
        <v>225</v>
      </c>
      <c r="D384" t="s">
        <v>182</v>
      </c>
      <c r="E384" t="s">
        <v>22</v>
      </c>
      <c r="F384" t="s">
        <v>183</v>
      </c>
      <c r="J384" t="s">
        <v>24</v>
      </c>
      <c r="K384">
        <v>2003</v>
      </c>
      <c r="L384" t="s">
        <v>37</v>
      </c>
      <c r="M384">
        <v>1586</v>
      </c>
      <c r="N384">
        <v>3</v>
      </c>
      <c r="O384">
        <v>2</v>
      </c>
      <c r="P384" t="s">
        <v>187</v>
      </c>
      <c r="Q384">
        <v>33.468891099779</v>
      </c>
      <c r="R384">
        <v>-112.257797332601</v>
      </c>
    </row>
    <row r="385" spans="1:18" x14ac:dyDescent="0.3">
      <c r="A385" t="s">
        <v>446</v>
      </c>
      <c r="B385">
        <v>85037</v>
      </c>
      <c r="C385" t="s">
        <v>225</v>
      </c>
      <c r="D385" t="s">
        <v>182</v>
      </c>
      <c r="E385" t="s">
        <v>22</v>
      </c>
      <c r="F385" t="s">
        <v>183</v>
      </c>
      <c r="J385" t="s">
        <v>24</v>
      </c>
      <c r="K385">
        <v>2004</v>
      </c>
      <c r="L385" t="s">
        <v>37</v>
      </c>
      <c r="M385">
        <v>1568</v>
      </c>
      <c r="N385">
        <v>3</v>
      </c>
      <c r="O385">
        <v>2</v>
      </c>
      <c r="Q385">
        <v>33.467956601394</v>
      </c>
      <c r="R385">
        <v>-112.260574424761</v>
      </c>
    </row>
    <row r="386" spans="1:18" x14ac:dyDescent="0.3">
      <c r="A386" t="s">
        <v>447</v>
      </c>
      <c r="B386">
        <v>85345</v>
      </c>
      <c r="C386" t="s">
        <v>208</v>
      </c>
      <c r="D386" t="s">
        <v>182</v>
      </c>
      <c r="E386" t="s">
        <v>22</v>
      </c>
      <c r="F386" t="s">
        <v>183</v>
      </c>
      <c r="J386" t="s">
        <v>24</v>
      </c>
      <c r="K386">
        <v>1998</v>
      </c>
      <c r="L386" t="s">
        <v>37</v>
      </c>
      <c r="M386">
        <v>1218</v>
      </c>
      <c r="N386">
        <v>3</v>
      </c>
      <c r="O386">
        <v>2</v>
      </c>
      <c r="Q386">
        <v>33.575489001150999</v>
      </c>
      <c r="R386">
        <v>-112.26071163651601</v>
      </c>
    </row>
    <row r="387" spans="1:18" x14ac:dyDescent="0.3">
      <c r="A387" t="s">
        <v>448</v>
      </c>
      <c r="B387">
        <v>85281</v>
      </c>
      <c r="C387" t="s">
        <v>189</v>
      </c>
      <c r="D387" t="s">
        <v>182</v>
      </c>
      <c r="E387" t="s">
        <v>22</v>
      </c>
      <c r="F387" t="s">
        <v>183</v>
      </c>
      <c r="J387" t="s">
        <v>24</v>
      </c>
      <c r="K387">
        <v>2006</v>
      </c>
      <c r="L387" t="s">
        <v>37</v>
      </c>
      <c r="M387">
        <v>1830</v>
      </c>
      <c r="N387">
        <v>4</v>
      </c>
      <c r="O387">
        <v>2</v>
      </c>
      <c r="P387" t="s">
        <v>198</v>
      </c>
      <c r="Q387">
        <v>33.441318494008001</v>
      </c>
      <c r="R387">
        <v>-111.925025969709</v>
      </c>
    </row>
    <row r="388" spans="1:18" x14ac:dyDescent="0.3">
      <c r="A388" t="s">
        <v>449</v>
      </c>
      <c r="B388">
        <v>85339</v>
      </c>
      <c r="C388" t="s">
        <v>225</v>
      </c>
      <c r="D388" t="s">
        <v>182</v>
      </c>
      <c r="E388" t="s">
        <v>22</v>
      </c>
      <c r="F388" t="s">
        <v>183</v>
      </c>
      <c r="J388" t="s">
        <v>24</v>
      </c>
      <c r="K388">
        <v>2012</v>
      </c>
      <c r="L388" t="s">
        <v>37</v>
      </c>
      <c r="M388">
        <v>1826</v>
      </c>
      <c r="N388">
        <v>3</v>
      </c>
      <c r="O388">
        <v>2.5</v>
      </c>
      <c r="Q388">
        <v>33.360786425583001</v>
      </c>
      <c r="R388">
        <v>-112.131080642404</v>
      </c>
    </row>
    <row r="389" spans="1:18" x14ac:dyDescent="0.3">
      <c r="A389" t="s">
        <v>450</v>
      </c>
      <c r="B389">
        <v>85339</v>
      </c>
      <c r="C389" t="s">
        <v>351</v>
      </c>
      <c r="D389" t="s">
        <v>182</v>
      </c>
      <c r="E389" t="s">
        <v>22</v>
      </c>
      <c r="F389" t="s">
        <v>183</v>
      </c>
      <c r="J389" t="s">
        <v>24</v>
      </c>
      <c r="K389">
        <v>2017</v>
      </c>
      <c r="L389" t="s">
        <v>37</v>
      </c>
      <c r="M389">
        <v>2444</v>
      </c>
      <c r="N389">
        <v>3</v>
      </c>
      <c r="O389">
        <v>2</v>
      </c>
      <c r="Q389">
        <v>33.360893211030003</v>
      </c>
      <c r="R389">
        <v>-112.132759202334</v>
      </c>
    </row>
    <row r="390" spans="1:18" x14ac:dyDescent="0.3">
      <c r="A390" t="s">
        <v>451</v>
      </c>
      <c r="B390">
        <v>85225</v>
      </c>
      <c r="C390" t="s">
        <v>181</v>
      </c>
      <c r="D390" t="s">
        <v>182</v>
      </c>
      <c r="E390" t="s">
        <v>22</v>
      </c>
      <c r="F390" t="s">
        <v>183</v>
      </c>
      <c r="J390" t="s">
        <v>24</v>
      </c>
      <c r="K390">
        <v>1976</v>
      </c>
      <c r="L390" t="s">
        <v>37</v>
      </c>
      <c r="M390">
        <v>1200</v>
      </c>
      <c r="N390">
        <v>3</v>
      </c>
      <c r="O390">
        <v>2</v>
      </c>
      <c r="P390" t="s">
        <v>187</v>
      </c>
      <c r="Q390">
        <v>33.321689666864003</v>
      </c>
      <c r="R390">
        <v>-111.857803357699</v>
      </c>
    </row>
    <row r="391" spans="1:18" x14ac:dyDescent="0.3">
      <c r="A391" t="s">
        <v>452</v>
      </c>
      <c r="B391">
        <v>85345</v>
      </c>
      <c r="C391" t="s">
        <v>208</v>
      </c>
      <c r="D391" t="s">
        <v>182</v>
      </c>
      <c r="E391" t="s">
        <v>22</v>
      </c>
      <c r="F391" t="s">
        <v>183</v>
      </c>
      <c r="J391" t="s">
        <v>24</v>
      </c>
      <c r="K391">
        <v>2005</v>
      </c>
      <c r="M391">
        <v>1788</v>
      </c>
      <c r="N391">
        <v>3</v>
      </c>
      <c r="O391">
        <v>2.5</v>
      </c>
      <c r="Q391">
        <v>33.570774054886002</v>
      </c>
      <c r="R391">
        <v>-112.234107894932</v>
      </c>
    </row>
    <row r="392" spans="1:18" x14ac:dyDescent="0.3">
      <c r="A392" t="s">
        <v>453</v>
      </c>
      <c r="B392">
        <v>85345</v>
      </c>
      <c r="C392" t="s">
        <v>208</v>
      </c>
      <c r="D392" t="s">
        <v>182</v>
      </c>
      <c r="E392" t="s">
        <v>22</v>
      </c>
      <c r="F392" t="s">
        <v>183</v>
      </c>
      <c r="J392" t="s">
        <v>24</v>
      </c>
      <c r="K392">
        <v>2005</v>
      </c>
      <c r="L392" t="s">
        <v>37</v>
      </c>
      <c r="M392">
        <v>1401</v>
      </c>
      <c r="N392">
        <v>3</v>
      </c>
      <c r="O392">
        <v>2.5</v>
      </c>
      <c r="P392" t="s">
        <v>187</v>
      </c>
      <c r="Q392">
        <v>33.571201238581999</v>
      </c>
      <c r="R392">
        <v>-112.23699194017701</v>
      </c>
    </row>
    <row r="393" spans="1:18" x14ac:dyDescent="0.3">
      <c r="A393" t="s">
        <v>454</v>
      </c>
      <c r="B393">
        <v>85020</v>
      </c>
      <c r="C393" t="s">
        <v>225</v>
      </c>
      <c r="D393" t="s">
        <v>182</v>
      </c>
      <c r="E393" t="s">
        <v>22</v>
      </c>
      <c r="F393" t="s">
        <v>183</v>
      </c>
      <c r="J393" t="s">
        <v>24</v>
      </c>
      <c r="K393">
        <v>1972</v>
      </c>
      <c r="L393" t="s">
        <v>37</v>
      </c>
      <c r="M393">
        <v>1053</v>
      </c>
      <c r="N393">
        <v>3</v>
      </c>
      <c r="O393">
        <v>2</v>
      </c>
      <c r="P393" t="s">
        <v>190</v>
      </c>
      <c r="Q393">
        <v>33.573696195880999</v>
      </c>
      <c r="R393">
        <v>-112.049331605457</v>
      </c>
    </row>
    <row r="394" spans="1:18" x14ac:dyDescent="0.3">
      <c r="A394" t="s">
        <v>455</v>
      </c>
      <c r="B394">
        <v>85282</v>
      </c>
      <c r="C394" t="s">
        <v>189</v>
      </c>
      <c r="D394" t="s">
        <v>182</v>
      </c>
      <c r="E394" t="s">
        <v>22</v>
      </c>
      <c r="F394" t="s">
        <v>183</v>
      </c>
      <c r="J394" t="s">
        <v>24</v>
      </c>
      <c r="K394">
        <v>1979</v>
      </c>
      <c r="L394" t="s">
        <v>37</v>
      </c>
      <c r="M394">
        <v>1191</v>
      </c>
      <c r="N394">
        <v>3</v>
      </c>
      <c r="O394">
        <v>2</v>
      </c>
      <c r="P394" t="s">
        <v>187</v>
      </c>
      <c r="Q394">
        <v>33.389377516410001</v>
      </c>
      <c r="R394">
        <v>-111.952308561631</v>
      </c>
    </row>
    <row r="395" spans="1:18" x14ac:dyDescent="0.3">
      <c r="A395" t="s">
        <v>456</v>
      </c>
      <c r="B395">
        <v>86001</v>
      </c>
      <c r="C395" t="s">
        <v>20</v>
      </c>
      <c r="D395" t="s">
        <v>21</v>
      </c>
      <c r="E395" t="s">
        <v>22</v>
      </c>
      <c r="F395" t="s">
        <v>23</v>
      </c>
      <c r="G395" t="s">
        <v>20</v>
      </c>
      <c r="I395" t="s">
        <v>24</v>
      </c>
      <c r="J395" t="s">
        <v>24</v>
      </c>
      <c r="K395">
        <v>2020</v>
      </c>
      <c r="L395" t="s">
        <v>37</v>
      </c>
      <c r="M395">
        <v>1427</v>
      </c>
      <c r="N395">
        <v>3</v>
      </c>
      <c r="O395">
        <v>2</v>
      </c>
      <c r="Q395">
        <v>35.191990599999997</v>
      </c>
      <c r="R395">
        <v>-111.6849278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E3BB-FD00-4F5E-B909-8057F2A4F20F}">
  <dimension ref="A1:A394"/>
  <sheetViews>
    <sheetView topLeftCell="A289" workbookViewId="0">
      <selection activeCell="O378" sqref="O378"/>
    </sheetView>
  </sheetViews>
  <sheetFormatPr defaultRowHeight="14.4" x14ac:dyDescent="0.3"/>
  <sheetData>
    <row r="1" spans="1:1" x14ac:dyDescent="0.3">
      <c r="A1" t="s">
        <v>14</v>
      </c>
    </row>
    <row r="2" spans="1:1" x14ac:dyDescent="0.3">
      <c r="A2">
        <v>0</v>
      </c>
    </row>
    <row r="3" spans="1:1" x14ac:dyDescent="0.3">
      <c r="A3">
        <v>3</v>
      </c>
    </row>
    <row r="4" spans="1:1" x14ac:dyDescent="0.3">
      <c r="A4">
        <v>3</v>
      </c>
    </row>
    <row r="5" spans="1:1" x14ac:dyDescent="0.3">
      <c r="A5">
        <v>3</v>
      </c>
    </row>
    <row r="6" spans="1:1" x14ac:dyDescent="0.3">
      <c r="A6">
        <v>3</v>
      </c>
    </row>
    <row r="7" spans="1:1" x14ac:dyDescent="0.3">
      <c r="A7">
        <v>3</v>
      </c>
    </row>
    <row r="8" spans="1:1" x14ac:dyDescent="0.3">
      <c r="A8">
        <v>0</v>
      </c>
    </row>
    <row r="9" spans="1:1" x14ac:dyDescent="0.3">
      <c r="A9">
        <v>3</v>
      </c>
    </row>
    <row r="10" spans="1:1" x14ac:dyDescent="0.3">
      <c r="A10">
        <v>0</v>
      </c>
    </row>
    <row r="11" spans="1:1" x14ac:dyDescent="0.3">
      <c r="A11">
        <v>0</v>
      </c>
    </row>
    <row r="12" spans="1:1" x14ac:dyDescent="0.3">
      <c r="A12">
        <v>3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3</v>
      </c>
    </row>
    <row r="22" spans="1:1" x14ac:dyDescent="0.3">
      <c r="A22">
        <v>3</v>
      </c>
    </row>
    <row r="23" spans="1:1" x14ac:dyDescent="0.3">
      <c r="A23">
        <v>3</v>
      </c>
    </row>
    <row r="24" spans="1:1" x14ac:dyDescent="0.3">
      <c r="A24">
        <v>3</v>
      </c>
    </row>
    <row r="25" spans="1:1" x14ac:dyDescent="0.3">
      <c r="A25">
        <v>3</v>
      </c>
    </row>
    <row r="26" spans="1:1" x14ac:dyDescent="0.3">
      <c r="A26">
        <v>2</v>
      </c>
    </row>
    <row r="27" spans="1:1" x14ac:dyDescent="0.3">
      <c r="A27">
        <v>2</v>
      </c>
    </row>
    <row r="28" spans="1:1" x14ac:dyDescent="0.3">
      <c r="A28">
        <v>0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>
        <v>2</v>
      </c>
    </row>
    <row r="32" spans="1:1" x14ac:dyDescent="0.3">
      <c r="A32">
        <v>5</v>
      </c>
    </row>
    <row r="33" spans="1:1" x14ac:dyDescent="0.3">
      <c r="A33">
        <v>3</v>
      </c>
    </row>
    <row r="34" spans="1:1" x14ac:dyDescent="0.3">
      <c r="A34">
        <v>3</v>
      </c>
    </row>
    <row r="35" spans="1:1" x14ac:dyDescent="0.3">
      <c r="A35">
        <v>3</v>
      </c>
    </row>
    <row r="36" spans="1:1" x14ac:dyDescent="0.3">
      <c r="A36">
        <v>3</v>
      </c>
    </row>
    <row r="37" spans="1:1" x14ac:dyDescent="0.3">
      <c r="A37">
        <v>3</v>
      </c>
    </row>
    <row r="38" spans="1:1" x14ac:dyDescent="0.3">
      <c r="A38">
        <v>3</v>
      </c>
    </row>
    <row r="39" spans="1:1" x14ac:dyDescent="0.3">
      <c r="A39">
        <v>3</v>
      </c>
    </row>
    <row r="40" spans="1:1" x14ac:dyDescent="0.3">
      <c r="A40">
        <v>4</v>
      </c>
    </row>
    <row r="41" spans="1:1" x14ac:dyDescent="0.3">
      <c r="A41">
        <v>3</v>
      </c>
    </row>
    <row r="42" spans="1:1" x14ac:dyDescent="0.3">
      <c r="A42">
        <v>3</v>
      </c>
    </row>
    <row r="43" spans="1:1" x14ac:dyDescent="0.3">
      <c r="A43">
        <v>4</v>
      </c>
    </row>
    <row r="44" spans="1:1" x14ac:dyDescent="0.3">
      <c r="A44">
        <v>3</v>
      </c>
    </row>
    <row r="45" spans="1:1" x14ac:dyDescent="0.3">
      <c r="A45">
        <v>3</v>
      </c>
    </row>
    <row r="46" spans="1:1" x14ac:dyDescent="0.3">
      <c r="A46">
        <v>3</v>
      </c>
    </row>
    <row r="47" spans="1:1" x14ac:dyDescent="0.3">
      <c r="A47">
        <v>3</v>
      </c>
    </row>
    <row r="48" spans="1:1" x14ac:dyDescent="0.3">
      <c r="A48">
        <v>4</v>
      </c>
    </row>
    <row r="49" spans="1:1" x14ac:dyDescent="0.3">
      <c r="A49">
        <v>2</v>
      </c>
    </row>
    <row r="50" spans="1:1" x14ac:dyDescent="0.3">
      <c r="A50">
        <v>4</v>
      </c>
    </row>
    <row r="51" spans="1:1" x14ac:dyDescent="0.3">
      <c r="A51">
        <v>3</v>
      </c>
    </row>
    <row r="52" spans="1:1" x14ac:dyDescent="0.3">
      <c r="A52">
        <v>3</v>
      </c>
    </row>
    <row r="53" spans="1:1" x14ac:dyDescent="0.3">
      <c r="A53">
        <v>3</v>
      </c>
    </row>
    <row r="54" spans="1:1" x14ac:dyDescent="0.3">
      <c r="A54">
        <v>3</v>
      </c>
    </row>
    <row r="55" spans="1:1" x14ac:dyDescent="0.3">
      <c r="A55">
        <v>3</v>
      </c>
    </row>
    <row r="56" spans="1:1" x14ac:dyDescent="0.3">
      <c r="A56">
        <v>3</v>
      </c>
    </row>
    <row r="57" spans="1:1" x14ac:dyDescent="0.3">
      <c r="A57">
        <v>3</v>
      </c>
    </row>
    <row r="58" spans="1:1" x14ac:dyDescent="0.3">
      <c r="A58">
        <v>4</v>
      </c>
    </row>
    <row r="59" spans="1:1" x14ac:dyDescent="0.3">
      <c r="A59">
        <v>4</v>
      </c>
    </row>
    <row r="60" spans="1:1" x14ac:dyDescent="0.3">
      <c r="A60">
        <v>4</v>
      </c>
    </row>
    <row r="61" spans="1:1" x14ac:dyDescent="0.3">
      <c r="A61">
        <v>5</v>
      </c>
    </row>
    <row r="62" spans="1:1" x14ac:dyDescent="0.3">
      <c r="A62">
        <v>2</v>
      </c>
    </row>
    <row r="63" spans="1:1" x14ac:dyDescent="0.3">
      <c r="A63">
        <v>3</v>
      </c>
    </row>
    <row r="64" spans="1:1" x14ac:dyDescent="0.3">
      <c r="A64">
        <v>3</v>
      </c>
    </row>
    <row r="65" spans="1:1" x14ac:dyDescent="0.3">
      <c r="A65">
        <v>4</v>
      </c>
    </row>
    <row r="66" spans="1:1" x14ac:dyDescent="0.3">
      <c r="A66">
        <v>4</v>
      </c>
    </row>
    <row r="67" spans="1:1" x14ac:dyDescent="0.3">
      <c r="A67">
        <v>2</v>
      </c>
    </row>
    <row r="68" spans="1:1" x14ac:dyDescent="0.3">
      <c r="A68">
        <v>3</v>
      </c>
    </row>
    <row r="69" spans="1:1" x14ac:dyDescent="0.3">
      <c r="A69">
        <v>3</v>
      </c>
    </row>
    <row r="70" spans="1:1" x14ac:dyDescent="0.3">
      <c r="A70">
        <v>3</v>
      </c>
    </row>
    <row r="71" spans="1:1" x14ac:dyDescent="0.3">
      <c r="A71">
        <v>3</v>
      </c>
    </row>
    <row r="72" spans="1:1" x14ac:dyDescent="0.3">
      <c r="A72">
        <v>3</v>
      </c>
    </row>
    <row r="73" spans="1:1" x14ac:dyDescent="0.3">
      <c r="A73">
        <v>2</v>
      </c>
    </row>
    <row r="74" spans="1:1" x14ac:dyDescent="0.3">
      <c r="A74">
        <v>4</v>
      </c>
    </row>
    <row r="75" spans="1:1" x14ac:dyDescent="0.3">
      <c r="A75">
        <v>3</v>
      </c>
    </row>
    <row r="76" spans="1:1" x14ac:dyDescent="0.3">
      <c r="A76">
        <v>4</v>
      </c>
    </row>
    <row r="77" spans="1:1" x14ac:dyDescent="0.3">
      <c r="A77">
        <v>3</v>
      </c>
    </row>
    <row r="78" spans="1:1" x14ac:dyDescent="0.3">
      <c r="A78">
        <v>3</v>
      </c>
    </row>
    <row r="79" spans="1:1" x14ac:dyDescent="0.3">
      <c r="A79">
        <v>2</v>
      </c>
    </row>
    <row r="80" spans="1:1" x14ac:dyDescent="0.3">
      <c r="A80">
        <v>3</v>
      </c>
    </row>
    <row r="81" spans="1:1" x14ac:dyDescent="0.3">
      <c r="A81">
        <v>3</v>
      </c>
    </row>
    <row r="82" spans="1:1" x14ac:dyDescent="0.3">
      <c r="A82">
        <v>3</v>
      </c>
    </row>
    <row r="83" spans="1:1" x14ac:dyDescent="0.3">
      <c r="A83">
        <v>3</v>
      </c>
    </row>
    <row r="84" spans="1:1" x14ac:dyDescent="0.3">
      <c r="A84">
        <v>4</v>
      </c>
    </row>
    <row r="85" spans="1:1" x14ac:dyDescent="0.3">
      <c r="A85">
        <v>4</v>
      </c>
    </row>
    <row r="86" spans="1:1" x14ac:dyDescent="0.3">
      <c r="A86">
        <v>4</v>
      </c>
    </row>
    <row r="87" spans="1:1" x14ac:dyDescent="0.3">
      <c r="A87">
        <v>3</v>
      </c>
    </row>
    <row r="88" spans="1:1" x14ac:dyDescent="0.3">
      <c r="A88">
        <v>3</v>
      </c>
    </row>
    <row r="89" spans="1:1" x14ac:dyDescent="0.3">
      <c r="A89">
        <v>2</v>
      </c>
    </row>
    <row r="90" spans="1:1" x14ac:dyDescent="0.3">
      <c r="A90">
        <v>4</v>
      </c>
    </row>
    <row r="91" spans="1:1" x14ac:dyDescent="0.3">
      <c r="A91">
        <v>4</v>
      </c>
    </row>
    <row r="92" spans="1:1" x14ac:dyDescent="0.3">
      <c r="A92">
        <v>4</v>
      </c>
    </row>
    <row r="93" spans="1:1" x14ac:dyDescent="0.3">
      <c r="A93">
        <v>3</v>
      </c>
    </row>
    <row r="94" spans="1:1" x14ac:dyDescent="0.3">
      <c r="A94">
        <v>4</v>
      </c>
    </row>
    <row r="95" spans="1:1" x14ac:dyDescent="0.3">
      <c r="A95">
        <v>3</v>
      </c>
    </row>
    <row r="96" spans="1:1" x14ac:dyDescent="0.3">
      <c r="A96">
        <v>3</v>
      </c>
    </row>
    <row r="97" spans="1:1" x14ac:dyDescent="0.3">
      <c r="A97">
        <v>4</v>
      </c>
    </row>
    <row r="98" spans="1:1" x14ac:dyDescent="0.3">
      <c r="A98">
        <v>3</v>
      </c>
    </row>
    <row r="99" spans="1:1" x14ac:dyDescent="0.3">
      <c r="A99">
        <v>3</v>
      </c>
    </row>
    <row r="100" spans="1:1" x14ac:dyDescent="0.3">
      <c r="A100">
        <v>3</v>
      </c>
    </row>
    <row r="101" spans="1:1" x14ac:dyDescent="0.3">
      <c r="A101">
        <v>4</v>
      </c>
    </row>
    <row r="102" spans="1:1" x14ac:dyDescent="0.3">
      <c r="A102">
        <v>3</v>
      </c>
    </row>
    <row r="103" spans="1:1" x14ac:dyDescent="0.3">
      <c r="A103">
        <v>4</v>
      </c>
    </row>
    <row r="104" spans="1:1" x14ac:dyDescent="0.3">
      <c r="A104">
        <v>3</v>
      </c>
    </row>
    <row r="105" spans="1:1" x14ac:dyDescent="0.3">
      <c r="A105">
        <v>3</v>
      </c>
    </row>
    <row r="106" spans="1:1" x14ac:dyDescent="0.3">
      <c r="A106">
        <v>3</v>
      </c>
    </row>
    <row r="107" spans="1:1" x14ac:dyDescent="0.3">
      <c r="A107">
        <v>4</v>
      </c>
    </row>
    <row r="108" spans="1:1" x14ac:dyDescent="0.3">
      <c r="A108">
        <v>3</v>
      </c>
    </row>
    <row r="109" spans="1:1" x14ac:dyDescent="0.3">
      <c r="A109">
        <v>3</v>
      </c>
    </row>
    <row r="110" spans="1:1" x14ac:dyDescent="0.3">
      <c r="A110">
        <v>4</v>
      </c>
    </row>
    <row r="111" spans="1:1" x14ac:dyDescent="0.3">
      <c r="A111">
        <v>3</v>
      </c>
    </row>
    <row r="112" spans="1:1" x14ac:dyDescent="0.3">
      <c r="A112">
        <v>4</v>
      </c>
    </row>
    <row r="113" spans="1:1" x14ac:dyDescent="0.3">
      <c r="A113">
        <v>3</v>
      </c>
    </row>
    <row r="114" spans="1:1" x14ac:dyDescent="0.3">
      <c r="A114">
        <v>3</v>
      </c>
    </row>
    <row r="115" spans="1:1" x14ac:dyDescent="0.3">
      <c r="A115">
        <v>3</v>
      </c>
    </row>
    <row r="116" spans="1:1" x14ac:dyDescent="0.3">
      <c r="A116">
        <v>3</v>
      </c>
    </row>
    <row r="117" spans="1:1" x14ac:dyDescent="0.3">
      <c r="A117">
        <v>5</v>
      </c>
    </row>
    <row r="118" spans="1:1" x14ac:dyDescent="0.3">
      <c r="A118">
        <v>3</v>
      </c>
    </row>
    <row r="119" spans="1:1" x14ac:dyDescent="0.3">
      <c r="A119">
        <v>3</v>
      </c>
    </row>
    <row r="120" spans="1:1" x14ac:dyDescent="0.3">
      <c r="A120">
        <v>4</v>
      </c>
    </row>
    <row r="121" spans="1:1" x14ac:dyDescent="0.3">
      <c r="A121">
        <v>3</v>
      </c>
    </row>
    <row r="122" spans="1:1" x14ac:dyDescent="0.3">
      <c r="A122">
        <v>4</v>
      </c>
    </row>
    <row r="123" spans="1:1" x14ac:dyDescent="0.3">
      <c r="A123">
        <v>3</v>
      </c>
    </row>
    <row r="124" spans="1:1" x14ac:dyDescent="0.3">
      <c r="A124">
        <v>3</v>
      </c>
    </row>
    <row r="125" spans="1:1" x14ac:dyDescent="0.3">
      <c r="A125">
        <v>3</v>
      </c>
    </row>
    <row r="126" spans="1:1" x14ac:dyDescent="0.3">
      <c r="A126">
        <v>2</v>
      </c>
    </row>
    <row r="127" spans="1:1" x14ac:dyDescent="0.3">
      <c r="A127">
        <v>3</v>
      </c>
    </row>
    <row r="128" spans="1:1" x14ac:dyDescent="0.3">
      <c r="A128">
        <v>5</v>
      </c>
    </row>
    <row r="129" spans="1:1" x14ac:dyDescent="0.3">
      <c r="A129">
        <v>2</v>
      </c>
    </row>
    <row r="130" spans="1:1" x14ac:dyDescent="0.3">
      <c r="A130">
        <v>3</v>
      </c>
    </row>
    <row r="131" spans="1:1" x14ac:dyDescent="0.3">
      <c r="A131">
        <v>3</v>
      </c>
    </row>
    <row r="132" spans="1:1" x14ac:dyDescent="0.3">
      <c r="A132">
        <v>3</v>
      </c>
    </row>
    <row r="133" spans="1:1" x14ac:dyDescent="0.3">
      <c r="A133">
        <v>3</v>
      </c>
    </row>
    <row r="134" spans="1:1" x14ac:dyDescent="0.3">
      <c r="A134">
        <v>2</v>
      </c>
    </row>
    <row r="135" spans="1:1" x14ac:dyDescent="0.3">
      <c r="A135">
        <v>4</v>
      </c>
    </row>
    <row r="136" spans="1:1" x14ac:dyDescent="0.3">
      <c r="A136">
        <v>3</v>
      </c>
    </row>
    <row r="137" spans="1:1" x14ac:dyDescent="0.3">
      <c r="A137">
        <v>3</v>
      </c>
    </row>
    <row r="138" spans="1:1" x14ac:dyDescent="0.3">
      <c r="A138">
        <v>3</v>
      </c>
    </row>
    <row r="139" spans="1:1" x14ac:dyDescent="0.3">
      <c r="A139">
        <v>3</v>
      </c>
    </row>
    <row r="140" spans="1:1" x14ac:dyDescent="0.3">
      <c r="A140">
        <v>2</v>
      </c>
    </row>
    <row r="141" spans="1:1" x14ac:dyDescent="0.3">
      <c r="A141">
        <v>3</v>
      </c>
    </row>
    <row r="142" spans="1:1" x14ac:dyDescent="0.3">
      <c r="A142">
        <v>3</v>
      </c>
    </row>
    <row r="143" spans="1:1" x14ac:dyDescent="0.3">
      <c r="A143">
        <v>2</v>
      </c>
    </row>
    <row r="144" spans="1:1" x14ac:dyDescent="0.3">
      <c r="A144">
        <v>3</v>
      </c>
    </row>
    <row r="145" spans="1:1" x14ac:dyDescent="0.3">
      <c r="A145">
        <v>2</v>
      </c>
    </row>
    <row r="146" spans="1:1" x14ac:dyDescent="0.3">
      <c r="A146">
        <v>3</v>
      </c>
    </row>
    <row r="147" spans="1:1" x14ac:dyDescent="0.3">
      <c r="A147">
        <v>4</v>
      </c>
    </row>
    <row r="148" spans="1:1" x14ac:dyDescent="0.3">
      <c r="A148">
        <v>3</v>
      </c>
    </row>
    <row r="149" spans="1:1" x14ac:dyDescent="0.3">
      <c r="A149">
        <v>3</v>
      </c>
    </row>
    <row r="150" spans="1:1" x14ac:dyDescent="0.3">
      <c r="A150">
        <v>3</v>
      </c>
    </row>
    <row r="151" spans="1:1" x14ac:dyDescent="0.3">
      <c r="A151">
        <v>3</v>
      </c>
    </row>
    <row r="152" spans="1:1" x14ac:dyDescent="0.3">
      <c r="A152">
        <v>3</v>
      </c>
    </row>
    <row r="153" spans="1:1" x14ac:dyDescent="0.3">
      <c r="A153">
        <v>3</v>
      </c>
    </row>
    <row r="154" spans="1:1" x14ac:dyDescent="0.3">
      <c r="A154">
        <v>3</v>
      </c>
    </row>
    <row r="155" spans="1:1" x14ac:dyDescent="0.3">
      <c r="A155">
        <v>3</v>
      </c>
    </row>
    <row r="156" spans="1:1" x14ac:dyDescent="0.3">
      <c r="A156">
        <v>3</v>
      </c>
    </row>
    <row r="157" spans="1:1" x14ac:dyDescent="0.3">
      <c r="A157">
        <v>4</v>
      </c>
    </row>
    <row r="158" spans="1:1" x14ac:dyDescent="0.3">
      <c r="A158">
        <v>3</v>
      </c>
    </row>
    <row r="159" spans="1:1" x14ac:dyDescent="0.3">
      <c r="A159">
        <v>3</v>
      </c>
    </row>
    <row r="160" spans="1:1" x14ac:dyDescent="0.3">
      <c r="A160">
        <v>3</v>
      </c>
    </row>
    <row r="161" spans="1:1" x14ac:dyDescent="0.3">
      <c r="A161">
        <v>3</v>
      </c>
    </row>
    <row r="162" spans="1:1" x14ac:dyDescent="0.3">
      <c r="A162">
        <v>2</v>
      </c>
    </row>
    <row r="163" spans="1:1" x14ac:dyDescent="0.3">
      <c r="A163">
        <v>3</v>
      </c>
    </row>
    <row r="164" spans="1:1" x14ac:dyDescent="0.3">
      <c r="A164">
        <v>3</v>
      </c>
    </row>
    <row r="165" spans="1:1" x14ac:dyDescent="0.3">
      <c r="A165">
        <v>3</v>
      </c>
    </row>
    <row r="166" spans="1:1" x14ac:dyDescent="0.3">
      <c r="A166">
        <v>3</v>
      </c>
    </row>
    <row r="167" spans="1:1" x14ac:dyDescent="0.3">
      <c r="A167">
        <v>3</v>
      </c>
    </row>
    <row r="168" spans="1:1" x14ac:dyDescent="0.3">
      <c r="A168">
        <v>4</v>
      </c>
    </row>
    <row r="169" spans="1:1" x14ac:dyDescent="0.3">
      <c r="A169">
        <v>3</v>
      </c>
    </row>
    <row r="170" spans="1:1" x14ac:dyDescent="0.3">
      <c r="A170">
        <v>4</v>
      </c>
    </row>
    <row r="171" spans="1:1" x14ac:dyDescent="0.3">
      <c r="A171">
        <v>3</v>
      </c>
    </row>
    <row r="172" spans="1:1" x14ac:dyDescent="0.3">
      <c r="A172">
        <v>3</v>
      </c>
    </row>
    <row r="173" spans="1:1" x14ac:dyDescent="0.3">
      <c r="A173">
        <v>3</v>
      </c>
    </row>
    <row r="174" spans="1:1" x14ac:dyDescent="0.3">
      <c r="A174">
        <v>3</v>
      </c>
    </row>
    <row r="175" spans="1:1" x14ac:dyDescent="0.3">
      <c r="A175">
        <v>3</v>
      </c>
    </row>
    <row r="176" spans="1:1" x14ac:dyDescent="0.3">
      <c r="A176">
        <v>4</v>
      </c>
    </row>
    <row r="177" spans="1:1" x14ac:dyDescent="0.3">
      <c r="A177">
        <v>3</v>
      </c>
    </row>
    <row r="178" spans="1:1" x14ac:dyDescent="0.3">
      <c r="A178">
        <v>4</v>
      </c>
    </row>
    <row r="179" spans="1:1" x14ac:dyDescent="0.3">
      <c r="A179">
        <v>3</v>
      </c>
    </row>
    <row r="180" spans="1:1" x14ac:dyDescent="0.3">
      <c r="A180">
        <v>3</v>
      </c>
    </row>
    <row r="181" spans="1:1" x14ac:dyDescent="0.3">
      <c r="A181">
        <v>3</v>
      </c>
    </row>
    <row r="182" spans="1:1" x14ac:dyDescent="0.3">
      <c r="A182">
        <v>3</v>
      </c>
    </row>
    <row r="183" spans="1:1" x14ac:dyDescent="0.3">
      <c r="A183">
        <v>3</v>
      </c>
    </row>
    <row r="184" spans="1:1" x14ac:dyDescent="0.3">
      <c r="A184">
        <v>3</v>
      </c>
    </row>
    <row r="185" spans="1:1" x14ac:dyDescent="0.3">
      <c r="A185">
        <v>3</v>
      </c>
    </row>
    <row r="186" spans="1:1" x14ac:dyDescent="0.3">
      <c r="A186">
        <v>3</v>
      </c>
    </row>
    <row r="187" spans="1:1" x14ac:dyDescent="0.3">
      <c r="A187">
        <v>3</v>
      </c>
    </row>
    <row r="188" spans="1:1" x14ac:dyDescent="0.3">
      <c r="A188">
        <v>3</v>
      </c>
    </row>
    <row r="189" spans="1:1" x14ac:dyDescent="0.3">
      <c r="A189">
        <v>4</v>
      </c>
    </row>
    <row r="190" spans="1:1" x14ac:dyDescent="0.3">
      <c r="A190">
        <v>2</v>
      </c>
    </row>
    <row r="191" spans="1:1" x14ac:dyDescent="0.3">
      <c r="A191">
        <v>3</v>
      </c>
    </row>
    <row r="192" spans="1:1" x14ac:dyDescent="0.3">
      <c r="A192">
        <v>4</v>
      </c>
    </row>
    <row r="193" spans="1:1" x14ac:dyDescent="0.3">
      <c r="A193">
        <v>3</v>
      </c>
    </row>
    <row r="194" spans="1:1" x14ac:dyDescent="0.3">
      <c r="A194">
        <v>1</v>
      </c>
    </row>
    <row r="195" spans="1:1" x14ac:dyDescent="0.3">
      <c r="A195">
        <v>1</v>
      </c>
    </row>
    <row r="196" spans="1:1" x14ac:dyDescent="0.3">
      <c r="A196">
        <v>1</v>
      </c>
    </row>
    <row r="197" spans="1:1" x14ac:dyDescent="0.3">
      <c r="A197">
        <v>1</v>
      </c>
    </row>
    <row r="198" spans="1:1" x14ac:dyDescent="0.3">
      <c r="A198">
        <v>4</v>
      </c>
    </row>
    <row r="199" spans="1:1" x14ac:dyDescent="0.3">
      <c r="A199">
        <v>1</v>
      </c>
    </row>
    <row r="200" spans="1:1" x14ac:dyDescent="0.3">
      <c r="A200">
        <v>1</v>
      </c>
    </row>
    <row r="201" spans="1:1" x14ac:dyDescent="0.3">
      <c r="A201">
        <v>1</v>
      </c>
    </row>
    <row r="202" spans="1:1" x14ac:dyDescent="0.3">
      <c r="A202">
        <v>1</v>
      </c>
    </row>
    <row r="203" spans="1:1" x14ac:dyDescent="0.3">
      <c r="A203">
        <v>3</v>
      </c>
    </row>
    <row r="204" spans="1:1" x14ac:dyDescent="0.3">
      <c r="A204">
        <v>1</v>
      </c>
    </row>
    <row r="205" spans="1:1" x14ac:dyDescent="0.3">
      <c r="A205">
        <v>3</v>
      </c>
    </row>
    <row r="206" spans="1:1" x14ac:dyDescent="0.3">
      <c r="A206">
        <v>3</v>
      </c>
    </row>
    <row r="207" spans="1:1" x14ac:dyDescent="0.3">
      <c r="A207">
        <v>1</v>
      </c>
    </row>
    <row r="208" spans="1:1" x14ac:dyDescent="0.3">
      <c r="A208">
        <v>1</v>
      </c>
    </row>
    <row r="209" spans="1:1" x14ac:dyDescent="0.3">
      <c r="A209">
        <v>1</v>
      </c>
    </row>
    <row r="210" spans="1:1" x14ac:dyDescent="0.3">
      <c r="A210">
        <v>1</v>
      </c>
    </row>
    <row r="211" spans="1:1" x14ac:dyDescent="0.3">
      <c r="A211">
        <v>3</v>
      </c>
    </row>
    <row r="212" spans="1:1" x14ac:dyDescent="0.3">
      <c r="A212">
        <v>1</v>
      </c>
    </row>
    <row r="213" spans="1:1" x14ac:dyDescent="0.3">
      <c r="A213">
        <v>3</v>
      </c>
    </row>
    <row r="214" spans="1:1" x14ac:dyDescent="0.3">
      <c r="A214">
        <v>3</v>
      </c>
    </row>
    <row r="215" spans="1:1" x14ac:dyDescent="0.3">
      <c r="A215">
        <v>2</v>
      </c>
    </row>
    <row r="216" spans="1:1" x14ac:dyDescent="0.3">
      <c r="A216">
        <v>3</v>
      </c>
    </row>
    <row r="217" spans="1:1" x14ac:dyDescent="0.3">
      <c r="A217">
        <v>3</v>
      </c>
    </row>
    <row r="218" spans="1:1" x14ac:dyDescent="0.3">
      <c r="A218">
        <v>4</v>
      </c>
    </row>
    <row r="219" spans="1:1" x14ac:dyDescent="0.3">
      <c r="A219">
        <v>3</v>
      </c>
    </row>
    <row r="220" spans="1:1" x14ac:dyDescent="0.3">
      <c r="A220">
        <v>3</v>
      </c>
    </row>
    <row r="221" spans="1:1" x14ac:dyDescent="0.3">
      <c r="A221">
        <v>3</v>
      </c>
    </row>
    <row r="222" spans="1:1" x14ac:dyDescent="0.3">
      <c r="A222">
        <v>2</v>
      </c>
    </row>
    <row r="223" spans="1:1" x14ac:dyDescent="0.3">
      <c r="A223">
        <v>3</v>
      </c>
    </row>
    <row r="224" spans="1:1" x14ac:dyDescent="0.3">
      <c r="A224">
        <v>4</v>
      </c>
    </row>
    <row r="225" spans="1:1" x14ac:dyDescent="0.3">
      <c r="A225">
        <v>3</v>
      </c>
    </row>
    <row r="226" spans="1:1" x14ac:dyDescent="0.3">
      <c r="A226">
        <v>4</v>
      </c>
    </row>
    <row r="227" spans="1:1" x14ac:dyDescent="0.3">
      <c r="A227">
        <v>3</v>
      </c>
    </row>
    <row r="228" spans="1:1" x14ac:dyDescent="0.3">
      <c r="A228">
        <v>3</v>
      </c>
    </row>
    <row r="229" spans="1:1" x14ac:dyDescent="0.3">
      <c r="A229">
        <v>3</v>
      </c>
    </row>
    <row r="230" spans="1:1" x14ac:dyDescent="0.3">
      <c r="A230">
        <v>3</v>
      </c>
    </row>
    <row r="231" spans="1:1" x14ac:dyDescent="0.3">
      <c r="A231">
        <v>3</v>
      </c>
    </row>
    <row r="232" spans="1:1" x14ac:dyDescent="0.3">
      <c r="A232">
        <v>3</v>
      </c>
    </row>
    <row r="233" spans="1:1" x14ac:dyDescent="0.3">
      <c r="A233">
        <v>2</v>
      </c>
    </row>
    <row r="234" spans="1:1" x14ac:dyDescent="0.3">
      <c r="A234">
        <v>3</v>
      </c>
    </row>
    <row r="235" spans="1:1" x14ac:dyDescent="0.3">
      <c r="A235">
        <v>3</v>
      </c>
    </row>
    <row r="236" spans="1:1" x14ac:dyDescent="0.3">
      <c r="A236">
        <v>3</v>
      </c>
    </row>
    <row r="237" spans="1:1" x14ac:dyDescent="0.3">
      <c r="A237">
        <v>3</v>
      </c>
    </row>
    <row r="238" spans="1:1" x14ac:dyDescent="0.3">
      <c r="A238">
        <v>3</v>
      </c>
    </row>
    <row r="239" spans="1:1" x14ac:dyDescent="0.3">
      <c r="A239">
        <v>2</v>
      </c>
    </row>
    <row r="240" spans="1:1" x14ac:dyDescent="0.3">
      <c r="A240">
        <v>2</v>
      </c>
    </row>
    <row r="241" spans="1:1" x14ac:dyDescent="0.3">
      <c r="A241">
        <v>3</v>
      </c>
    </row>
    <row r="242" spans="1:1" x14ac:dyDescent="0.3">
      <c r="A242">
        <v>3</v>
      </c>
    </row>
    <row r="243" spans="1:1" x14ac:dyDescent="0.3">
      <c r="A243">
        <v>2</v>
      </c>
    </row>
    <row r="244" spans="1:1" x14ac:dyDescent="0.3">
      <c r="A244">
        <v>2</v>
      </c>
    </row>
    <row r="245" spans="1:1" x14ac:dyDescent="0.3">
      <c r="A245">
        <v>3</v>
      </c>
    </row>
    <row r="246" spans="1:1" x14ac:dyDescent="0.3">
      <c r="A246">
        <v>2</v>
      </c>
    </row>
    <row r="247" spans="1:1" x14ac:dyDescent="0.3">
      <c r="A247">
        <v>2</v>
      </c>
    </row>
    <row r="248" spans="1:1" x14ac:dyDescent="0.3">
      <c r="A248">
        <v>3</v>
      </c>
    </row>
    <row r="249" spans="1:1" x14ac:dyDescent="0.3">
      <c r="A249">
        <v>2</v>
      </c>
    </row>
    <row r="250" spans="1:1" x14ac:dyDescent="0.3">
      <c r="A250">
        <v>3</v>
      </c>
    </row>
    <row r="251" spans="1:1" x14ac:dyDescent="0.3">
      <c r="A251">
        <v>3</v>
      </c>
    </row>
    <row r="252" spans="1:1" x14ac:dyDescent="0.3">
      <c r="A252">
        <v>2</v>
      </c>
    </row>
    <row r="253" spans="1:1" x14ac:dyDescent="0.3">
      <c r="A253">
        <v>3</v>
      </c>
    </row>
    <row r="254" spans="1:1" x14ac:dyDescent="0.3">
      <c r="A254">
        <v>3</v>
      </c>
    </row>
    <row r="255" spans="1:1" x14ac:dyDescent="0.3">
      <c r="A255">
        <v>3</v>
      </c>
    </row>
    <row r="256" spans="1:1" x14ac:dyDescent="0.3">
      <c r="A256">
        <v>3</v>
      </c>
    </row>
    <row r="257" spans="1:1" x14ac:dyDescent="0.3">
      <c r="A257">
        <v>3</v>
      </c>
    </row>
    <row r="258" spans="1:1" x14ac:dyDescent="0.3">
      <c r="A258">
        <v>3</v>
      </c>
    </row>
    <row r="259" spans="1:1" x14ac:dyDescent="0.3">
      <c r="A259">
        <v>3</v>
      </c>
    </row>
    <row r="260" spans="1:1" x14ac:dyDescent="0.3">
      <c r="A260">
        <v>3</v>
      </c>
    </row>
    <row r="261" spans="1:1" x14ac:dyDescent="0.3">
      <c r="A261">
        <v>3</v>
      </c>
    </row>
    <row r="262" spans="1:1" x14ac:dyDescent="0.3">
      <c r="A262">
        <v>3</v>
      </c>
    </row>
    <row r="263" spans="1:1" x14ac:dyDescent="0.3">
      <c r="A263">
        <v>3</v>
      </c>
    </row>
    <row r="264" spans="1:1" x14ac:dyDescent="0.3">
      <c r="A264">
        <v>4</v>
      </c>
    </row>
    <row r="265" spans="1:1" x14ac:dyDescent="0.3">
      <c r="A265">
        <v>3</v>
      </c>
    </row>
    <row r="266" spans="1:1" x14ac:dyDescent="0.3">
      <c r="A266">
        <v>3</v>
      </c>
    </row>
    <row r="267" spans="1:1" x14ac:dyDescent="0.3">
      <c r="A267">
        <v>3</v>
      </c>
    </row>
    <row r="268" spans="1:1" x14ac:dyDescent="0.3">
      <c r="A268">
        <v>3</v>
      </c>
    </row>
    <row r="269" spans="1:1" x14ac:dyDescent="0.3">
      <c r="A269">
        <v>3</v>
      </c>
    </row>
    <row r="270" spans="1:1" x14ac:dyDescent="0.3">
      <c r="A270">
        <v>3</v>
      </c>
    </row>
    <row r="271" spans="1:1" x14ac:dyDescent="0.3">
      <c r="A271">
        <v>3</v>
      </c>
    </row>
    <row r="272" spans="1:1" x14ac:dyDescent="0.3">
      <c r="A272">
        <v>3</v>
      </c>
    </row>
    <row r="273" spans="1:1" x14ac:dyDescent="0.3">
      <c r="A273">
        <v>2</v>
      </c>
    </row>
    <row r="274" spans="1:1" x14ac:dyDescent="0.3">
      <c r="A274">
        <v>2</v>
      </c>
    </row>
    <row r="275" spans="1:1" x14ac:dyDescent="0.3">
      <c r="A275">
        <v>3</v>
      </c>
    </row>
    <row r="276" spans="1:1" x14ac:dyDescent="0.3">
      <c r="A276">
        <v>3</v>
      </c>
    </row>
    <row r="277" spans="1:1" x14ac:dyDescent="0.3">
      <c r="A277">
        <v>3</v>
      </c>
    </row>
    <row r="278" spans="1:1" x14ac:dyDescent="0.3">
      <c r="A278">
        <v>3</v>
      </c>
    </row>
    <row r="279" spans="1:1" x14ac:dyDescent="0.3">
      <c r="A279">
        <v>2</v>
      </c>
    </row>
    <row r="280" spans="1:1" x14ac:dyDescent="0.3">
      <c r="A280">
        <v>3</v>
      </c>
    </row>
    <row r="281" spans="1:1" x14ac:dyDescent="0.3">
      <c r="A281">
        <v>3</v>
      </c>
    </row>
    <row r="282" spans="1:1" x14ac:dyDescent="0.3">
      <c r="A282">
        <v>3</v>
      </c>
    </row>
    <row r="283" spans="1:1" x14ac:dyDescent="0.3">
      <c r="A283">
        <v>3</v>
      </c>
    </row>
    <row r="284" spans="1:1" x14ac:dyDescent="0.3">
      <c r="A284">
        <v>4</v>
      </c>
    </row>
    <row r="285" spans="1:1" x14ac:dyDescent="0.3">
      <c r="A285">
        <v>3</v>
      </c>
    </row>
    <row r="286" spans="1:1" x14ac:dyDescent="0.3">
      <c r="A286">
        <v>3</v>
      </c>
    </row>
    <row r="287" spans="1:1" x14ac:dyDescent="0.3">
      <c r="A287">
        <v>3</v>
      </c>
    </row>
    <row r="288" spans="1:1" x14ac:dyDescent="0.3">
      <c r="A288">
        <v>3</v>
      </c>
    </row>
    <row r="289" spans="1:1" x14ac:dyDescent="0.3">
      <c r="A289">
        <v>3</v>
      </c>
    </row>
    <row r="290" spans="1:1" x14ac:dyDescent="0.3">
      <c r="A290">
        <v>3</v>
      </c>
    </row>
    <row r="291" spans="1:1" x14ac:dyDescent="0.3">
      <c r="A291">
        <v>4</v>
      </c>
    </row>
    <row r="292" spans="1:1" x14ac:dyDescent="0.3">
      <c r="A292">
        <v>3</v>
      </c>
    </row>
    <row r="293" spans="1:1" x14ac:dyDescent="0.3">
      <c r="A293">
        <v>3</v>
      </c>
    </row>
    <row r="294" spans="1:1" x14ac:dyDescent="0.3">
      <c r="A294">
        <v>3</v>
      </c>
    </row>
    <row r="295" spans="1:1" x14ac:dyDescent="0.3">
      <c r="A295">
        <v>3</v>
      </c>
    </row>
    <row r="296" spans="1:1" x14ac:dyDescent="0.3">
      <c r="A296">
        <v>3</v>
      </c>
    </row>
    <row r="297" spans="1:1" x14ac:dyDescent="0.3">
      <c r="A297">
        <v>3</v>
      </c>
    </row>
    <row r="298" spans="1:1" x14ac:dyDescent="0.3">
      <c r="A298">
        <v>3</v>
      </c>
    </row>
    <row r="299" spans="1:1" x14ac:dyDescent="0.3">
      <c r="A299">
        <v>2</v>
      </c>
    </row>
    <row r="300" spans="1:1" x14ac:dyDescent="0.3">
      <c r="A300">
        <v>3</v>
      </c>
    </row>
    <row r="301" spans="1:1" x14ac:dyDescent="0.3">
      <c r="A301">
        <v>4</v>
      </c>
    </row>
    <row r="302" spans="1:1" x14ac:dyDescent="0.3">
      <c r="A302">
        <v>4</v>
      </c>
    </row>
    <row r="303" spans="1:1" x14ac:dyDescent="0.3">
      <c r="A303">
        <v>3</v>
      </c>
    </row>
    <row r="304" spans="1:1" x14ac:dyDescent="0.3">
      <c r="A304">
        <v>4</v>
      </c>
    </row>
    <row r="305" spans="1:1" x14ac:dyDescent="0.3">
      <c r="A305">
        <v>3</v>
      </c>
    </row>
    <row r="306" spans="1:1" x14ac:dyDescent="0.3">
      <c r="A306">
        <v>3</v>
      </c>
    </row>
    <row r="307" spans="1:1" x14ac:dyDescent="0.3">
      <c r="A307">
        <v>3</v>
      </c>
    </row>
    <row r="308" spans="1:1" x14ac:dyDescent="0.3">
      <c r="A308">
        <v>3</v>
      </c>
    </row>
    <row r="309" spans="1:1" x14ac:dyDescent="0.3">
      <c r="A309">
        <v>3</v>
      </c>
    </row>
    <row r="310" spans="1:1" x14ac:dyDescent="0.3">
      <c r="A310">
        <v>3</v>
      </c>
    </row>
    <row r="311" spans="1:1" x14ac:dyDescent="0.3">
      <c r="A311">
        <v>3</v>
      </c>
    </row>
    <row r="312" spans="1:1" x14ac:dyDescent="0.3">
      <c r="A312">
        <v>4</v>
      </c>
    </row>
    <row r="313" spans="1:1" x14ac:dyDescent="0.3">
      <c r="A313">
        <v>3</v>
      </c>
    </row>
    <row r="314" spans="1:1" x14ac:dyDescent="0.3">
      <c r="A314">
        <v>2</v>
      </c>
    </row>
    <row r="315" spans="1:1" x14ac:dyDescent="0.3">
      <c r="A315">
        <v>3</v>
      </c>
    </row>
    <row r="316" spans="1:1" x14ac:dyDescent="0.3">
      <c r="A316">
        <v>3</v>
      </c>
    </row>
    <row r="317" spans="1:1" x14ac:dyDescent="0.3">
      <c r="A317">
        <v>4</v>
      </c>
    </row>
    <row r="318" spans="1:1" x14ac:dyDescent="0.3">
      <c r="A318">
        <v>2</v>
      </c>
    </row>
    <row r="319" spans="1:1" x14ac:dyDescent="0.3">
      <c r="A319">
        <v>3</v>
      </c>
    </row>
    <row r="320" spans="1:1" x14ac:dyDescent="0.3">
      <c r="A320">
        <v>3</v>
      </c>
    </row>
    <row r="321" spans="1:1" x14ac:dyDescent="0.3">
      <c r="A321">
        <v>4</v>
      </c>
    </row>
    <row r="322" spans="1:1" x14ac:dyDescent="0.3">
      <c r="A322">
        <v>4</v>
      </c>
    </row>
    <row r="323" spans="1:1" x14ac:dyDescent="0.3">
      <c r="A323">
        <v>3</v>
      </c>
    </row>
    <row r="324" spans="1:1" x14ac:dyDescent="0.3">
      <c r="A324">
        <v>3</v>
      </c>
    </row>
    <row r="325" spans="1:1" x14ac:dyDescent="0.3">
      <c r="A325">
        <v>4</v>
      </c>
    </row>
    <row r="326" spans="1:1" x14ac:dyDescent="0.3">
      <c r="A326">
        <v>4</v>
      </c>
    </row>
    <row r="327" spans="1:1" x14ac:dyDescent="0.3">
      <c r="A327">
        <v>3</v>
      </c>
    </row>
    <row r="328" spans="1:1" x14ac:dyDescent="0.3">
      <c r="A328">
        <v>3</v>
      </c>
    </row>
    <row r="329" spans="1:1" x14ac:dyDescent="0.3">
      <c r="A329">
        <v>3</v>
      </c>
    </row>
    <row r="330" spans="1:1" x14ac:dyDescent="0.3">
      <c r="A330">
        <v>3</v>
      </c>
    </row>
    <row r="331" spans="1:1" x14ac:dyDescent="0.3">
      <c r="A331">
        <v>3</v>
      </c>
    </row>
    <row r="332" spans="1:1" x14ac:dyDescent="0.3">
      <c r="A332">
        <v>3</v>
      </c>
    </row>
    <row r="333" spans="1:1" x14ac:dyDescent="0.3">
      <c r="A333">
        <v>3</v>
      </c>
    </row>
    <row r="334" spans="1:1" x14ac:dyDescent="0.3">
      <c r="A334">
        <v>3</v>
      </c>
    </row>
    <row r="335" spans="1:1" x14ac:dyDescent="0.3">
      <c r="A335">
        <v>3</v>
      </c>
    </row>
    <row r="336" spans="1:1" x14ac:dyDescent="0.3">
      <c r="A336">
        <v>3</v>
      </c>
    </row>
    <row r="337" spans="1:1" x14ac:dyDescent="0.3">
      <c r="A337">
        <v>3</v>
      </c>
    </row>
    <row r="338" spans="1:1" x14ac:dyDescent="0.3">
      <c r="A338">
        <v>3</v>
      </c>
    </row>
    <row r="339" spans="1:1" x14ac:dyDescent="0.3">
      <c r="A339">
        <v>4</v>
      </c>
    </row>
    <row r="340" spans="1:1" x14ac:dyDescent="0.3">
      <c r="A340">
        <v>3</v>
      </c>
    </row>
    <row r="341" spans="1:1" x14ac:dyDescent="0.3">
      <c r="A341">
        <v>2</v>
      </c>
    </row>
    <row r="342" spans="1:1" x14ac:dyDescent="0.3">
      <c r="A342">
        <v>3</v>
      </c>
    </row>
    <row r="343" spans="1:1" x14ac:dyDescent="0.3">
      <c r="A343">
        <v>3</v>
      </c>
    </row>
    <row r="344" spans="1:1" x14ac:dyDescent="0.3">
      <c r="A344">
        <v>2</v>
      </c>
    </row>
    <row r="345" spans="1:1" x14ac:dyDescent="0.3">
      <c r="A345">
        <v>3</v>
      </c>
    </row>
    <row r="346" spans="1:1" x14ac:dyDescent="0.3">
      <c r="A346">
        <v>4</v>
      </c>
    </row>
    <row r="347" spans="1:1" x14ac:dyDescent="0.3">
      <c r="A347">
        <v>4</v>
      </c>
    </row>
    <row r="348" spans="1:1" x14ac:dyDescent="0.3">
      <c r="A348">
        <v>3</v>
      </c>
    </row>
    <row r="349" spans="1:1" x14ac:dyDescent="0.3">
      <c r="A349">
        <v>3</v>
      </c>
    </row>
    <row r="350" spans="1:1" x14ac:dyDescent="0.3">
      <c r="A350">
        <v>3</v>
      </c>
    </row>
    <row r="351" spans="1:1" x14ac:dyDescent="0.3">
      <c r="A351">
        <v>4</v>
      </c>
    </row>
    <row r="352" spans="1:1" x14ac:dyDescent="0.3">
      <c r="A352">
        <v>2</v>
      </c>
    </row>
    <row r="353" spans="1:1" x14ac:dyDescent="0.3">
      <c r="A353">
        <v>3</v>
      </c>
    </row>
    <row r="354" spans="1:1" x14ac:dyDescent="0.3">
      <c r="A354">
        <v>4</v>
      </c>
    </row>
    <row r="355" spans="1:1" x14ac:dyDescent="0.3">
      <c r="A355">
        <v>3</v>
      </c>
    </row>
    <row r="356" spans="1:1" x14ac:dyDescent="0.3">
      <c r="A356">
        <v>2</v>
      </c>
    </row>
    <row r="357" spans="1:1" x14ac:dyDescent="0.3">
      <c r="A357">
        <v>2</v>
      </c>
    </row>
    <row r="358" spans="1:1" x14ac:dyDescent="0.3">
      <c r="A358">
        <v>3</v>
      </c>
    </row>
    <row r="359" spans="1:1" x14ac:dyDescent="0.3">
      <c r="A359">
        <v>3</v>
      </c>
    </row>
    <row r="360" spans="1:1" x14ac:dyDescent="0.3">
      <c r="A360">
        <v>3</v>
      </c>
    </row>
    <row r="361" spans="1:1" x14ac:dyDescent="0.3">
      <c r="A361">
        <v>3</v>
      </c>
    </row>
    <row r="362" spans="1:1" x14ac:dyDescent="0.3">
      <c r="A362">
        <v>3</v>
      </c>
    </row>
    <row r="363" spans="1:1" x14ac:dyDescent="0.3">
      <c r="A363">
        <v>3</v>
      </c>
    </row>
    <row r="364" spans="1:1" x14ac:dyDescent="0.3">
      <c r="A364">
        <v>3</v>
      </c>
    </row>
    <row r="365" spans="1:1" x14ac:dyDescent="0.3">
      <c r="A365">
        <v>3</v>
      </c>
    </row>
    <row r="366" spans="1:1" x14ac:dyDescent="0.3">
      <c r="A366">
        <v>3</v>
      </c>
    </row>
    <row r="367" spans="1:1" x14ac:dyDescent="0.3">
      <c r="A367">
        <v>3</v>
      </c>
    </row>
    <row r="368" spans="1:1" x14ac:dyDescent="0.3">
      <c r="A368">
        <v>3</v>
      </c>
    </row>
    <row r="369" spans="1:1" x14ac:dyDescent="0.3">
      <c r="A369">
        <v>3</v>
      </c>
    </row>
    <row r="370" spans="1:1" x14ac:dyDescent="0.3">
      <c r="A370">
        <v>3</v>
      </c>
    </row>
    <row r="371" spans="1:1" x14ac:dyDescent="0.3">
      <c r="A371">
        <v>3</v>
      </c>
    </row>
    <row r="372" spans="1:1" x14ac:dyDescent="0.3">
      <c r="A372">
        <v>3</v>
      </c>
    </row>
    <row r="373" spans="1:1" x14ac:dyDescent="0.3">
      <c r="A373">
        <v>4</v>
      </c>
    </row>
    <row r="374" spans="1:1" x14ac:dyDescent="0.3">
      <c r="A374">
        <v>3</v>
      </c>
    </row>
    <row r="375" spans="1:1" x14ac:dyDescent="0.3">
      <c r="A375">
        <v>3</v>
      </c>
    </row>
    <row r="376" spans="1:1" x14ac:dyDescent="0.3">
      <c r="A376">
        <v>3</v>
      </c>
    </row>
    <row r="377" spans="1:1" x14ac:dyDescent="0.3">
      <c r="A377">
        <v>3</v>
      </c>
    </row>
    <row r="378" spans="1:1" x14ac:dyDescent="0.3">
      <c r="A378">
        <v>2</v>
      </c>
    </row>
    <row r="379" spans="1:1" x14ac:dyDescent="0.3">
      <c r="A379">
        <v>3</v>
      </c>
    </row>
    <row r="380" spans="1:1" x14ac:dyDescent="0.3">
      <c r="A380">
        <v>3</v>
      </c>
    </row>
    <row r="381" spans="1:1" x14ac:dyDescent="0.3">
      <c r="A381">
        <v>4</v>
      </c>
    </row>
    <row r="382" spans="1:1" x14ac:dyDescent="0.3">
      <c r="A382">
        <v>3</v>
      </c>
    </row>
    <row r="383" spans="1:1" x14ac:dyDescent="0.3">
      <c r="A383">
        <v>3</v>
      </c>
    </row>
    <row r="384" spans="1:1" x14ac:dyDescent="0.3">
      <c r="A384">
        <v>3</v>
      </c>
    </row>
    <row r="385" spans="1:1" x14ac:dyDescent="0.3">
      <c r="A385">
        <v>3</v>
      </c>
    </row>
    <row r="386" spans="1:1" x14ac:dyDescent="0.3">
      <c r="A386">
        <v>4</v>
      </c>
    </row>
    <row r="387" spans="1:1" x14ac:dyDescent="0.3">
      <c r="A387">
        <v>3</v>
      </c>
    </row>
    <row r="388" spans="1:1" x14ac:dyDescent="0.3">
      <c r="A388">
        <v>3</v>
      </c>
    </row>
    <row r="389" spans="1:1" x14ac:dyDescent="0.3">
      <c r="A389">
        <v>3</v>
      </c>
    </row>
    <row r="390" spans="1:1" x14ac:dyDescent="0.3">
      <c r="A390">
        <v>3</v>
      </c>
    </row>
    <row r="391" spans="1:1" x14ac:dyDescent="0.3">
      <c r="A391">
        <v>3</v>
      </c>
    </row>
    <row r="392" spans="1:1" x14ac:dyDescent="0.3">
      <c r="A392">
        <v>3</v>
      </c>
    </row>
    <row r="393" spans="1:1" x14ac:dyDescent="0.3">
      <c r="A393">
        <v>3</v>
      </c>
    </row>
    <row r="394" spans="1:1" x14ac:dyDescent="0.3">
      <c r="A394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41"/>
  <sheetViews>
    <sheetView tabSelected="1" workbookViewId="0">
      <selection activeCell="F15" sqref="F15"/>
    </sheetView>
  </sheetViews>
  <sheetFormatPr defaultRowHeight="14.4" x14ac:dyDescent="0.3"/>
  <cols>
    <col min="1" max="1" width="28.77734375" customWidth="1"/>
  </cols>
  <sheetData>
    <row r="1" spans="1:36" x14ac:dyDescent="0.3">
      <c r="A1" s="1" t="s">
        <v>0</v>
      </c>
      <c r="B1" s="1" t="s">
        <v>457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469</v>
      </c>
      <c r="O1" s="1" t="s">
        <v>470</v>
      </c>
      <c r="P1" s="1" t="s">
        <v>471</v>
      </c>
      <c r="Q1" s="1" t="s">
        <v>472</v>
      </c>
      <c r="R1" s="1" t="s">
        <v>473</v>
      </c>
      <c r="S1" s="1" t="s">
        <v>474</v>
      </c>
      <c r="T1" s="1" t="s">
        <v>475</v>
      </c>
      <c r="U1" s="1" t="s">
        <v>476</v>
      </c>
      <c r="V1" s="1" t="s">
        <v>477</v>
      </c>
      <c r="W1" s="1" t="s">
        <v>478</v>
      </c>
      <c r="X1" s="1" t="s">
        <v>479</v>
      </c>
      <c r="Y1" s="1" t="s">
        <v>480</v>
      </c>
      <c r="Z1" s="1" t="s">
        <v>481</v>
      </c>
      <c r="AA1" s="1" t="s">
        <v>482</v>
      </c>
      <c r="AB1" s="1" t="s">
        <v>483</v>
      </c>
      <c r="AC1" s="1" t="s">
        <v>484</v>
      </c>
      <c r="AD1" s="1" t="s">
        <v>485</v>
      </c>
      <c r="AE1" s="1" t="s">
        <v>486</v>
      </c>
      <c r="AF1" s="1" t="s">
        <v>487</v>
      </c>
      <c r="AG1" s="1" t="s">
        <v>488</v>
      </c>
      <c r="AH1" s="1" t="s">
        <v>489</v>
      </c>
      <c r="AI1" s="1" t="s">
        <v>490</v>
      </c>
      <c r="AJ1" s="1" t="s">
        <v>491</v>
      </c>
    </row>
    <row r="2" spans="1:36" x14ac:dyDescent="0.3">
      <c r="A2" t="s">
        <v>19</v>
      </c>
      <c r="B2">
        <v>2005</v>
      </c>
      <c r="C2" t="s">
        <v>492</v>
      </c>
      <c r="F2">
        <v>1</v>
      </c>
      <c r="G2">
        <v>1</v>
      </c>
      <c r="L2">
        <v>148000</v>
      </c>
      <c r="V2">
        <v>1</v>
      </c>
      <c r="W2">
        <v>1</v>
      </c>
    </row>
    <row r="3" spans="1:36" x14ac:dyDescent="0.3">
      <c r="A3" t="s">
        <v>26</v>
      </c>
      <c r="B3">
        <v>2005</v>
      </c>
      <c r="C3" t="s">
        <v>493</v>
      </c>
      <c r="L3">
        <v>148000</v>
      </c>
      <c r="AE3">
        <v>1</v>
      </c>
    </row>
    <row r="4" spans="1:36" x14ac:dyDescent="0.3">
      <c r="A4" t="s">
        <v>26</v>
      </c>
      <c r="C4" t="s">
        <v>494</v>
      </c>
      <c r="D4">
        <v>0</v>
      </c>
      <c r="E4">
        <v>0</v>
      </c>
      <c r="H4">
        <v>0</v>
      </c>
      <c r="I4">
        <v>215000</v>
      </c>
      <c r="J4">
        <v>157000</v>
      </c>
      <c r="K4">
        <v>0</v>
      </c>
      <c r="L4">
        <v>153000</v>
      </c>
      <c r="M4">
        <v>0</v>
      </c>
      <c r="N4">
        <v>153000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X4">
        <v>0</v>
      </c>
      <c r="Y4">
        <v>0</v>
      </c>
      <c r="AA4">
        <v>0</v>
      </c>
      <c r="AB4">
        <v>0</v>
      </c>
      <c r="AC4">
        <v>0</v>
      </c>
      <c r="AE4">
        <v>0</v>
      </c>
      <c r="AF4">
        <v>0</v>
      </c>
      <c r="AI4">
        <v>0</v>
      </c>
      <c r="AJ4">
        <v>0</v>
      </c>
    </row>
    <row r="5" spans="1:36" x14ac:dyDescent="0.3">
      <c r="A5" t="s">
        <v>26</v>
      </c>
      <c r="C5" t="s">
        <v>495</v>
      </c>
      <c r="D5">
        <v>0</v>
      </c>
      <c r="E5">
        <v>0</v>
      </c>
      <c r="H5">
        <v>0</v>
      </c>
      <c r="I5">
        <v>273000</v>
      </c>
      <c r="J5">
        <v>263500</v>
      </c>
      <c r="K5">
        <v>0</v>
      </c>
      <c r="L5">
        <v>179625</v>
      </c>
      <c r="M5">
        <v>0</v>
      </c>
      <c r="N5">
        <v>179600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X5">
        <v>0</v>
      </c>
      <c r="Y5">
        <v>0</v>
      </c>
      <c r="AA5">
        <v>0</v>
      </c>
      <c r="AB5">
        <v>0</v>
      </c>
      <c r="AC5">
        <v>34.212454212454212</v>
      </c>
      <c r="AE5">
        <v>0</v>
      </c>
      <c r="AF5">
        <v>0</v>
      </c>
      <c r="AI5">
        <v>0</v>
      </c>
      <c r="AJ5">
        <v>0</v>
      </c>
    </row>
    <row r="6" spans="1:36" x14ac:dyDescent="0.3">
      <c r="A6" t="s">
        <v>26</v>
      </c>
      <c r="C6" t="s">
        <v>496</v>
      </c>
      <c r="D6">
        <v>0</v>
      </c>
      <c r="E6">
        <v>0</v>
      </c>
      <c r="H6">
        <v>0</v>
      </c>
      <c r="I6">
        <v>469000</v>
      </c>
      <c r="J6">
        <v>463000</v>
      </c>
      <c r="K6">
        <v>0</v>
      </c>
      <c r="L6">
        <v>229500</v>
      </c>
      <c r="M6">
        <v>0</v>
      </c>
      <c r="N6">
        <v>229500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X6">
        <v>0</v>
      </c>
      <c r="Y6">
        <v>0</v>
      </c>
      <c r="AA6">
        <v>0</v>
      </c>
      <c r="AB6">
        <v>0</v>
      </c>
      <c r="AC6">
        <v>100</v>
      </c>
      <c r="AE6">
        <v>0</v>
      </c>
      <c r="AF6">
        <v>0</v>
      </c>
      <c r="AI6">
        <v>0</v>
      </c>
      <c r="AJ6">
        <v>0</v>
      </c>
    </row>
    <row r="7" spans="1:36" x14ac:dyDescent="0.3">
      <c r="A7" t="s">
        <v>29</v>
      </c>
      <c r="B7">
        <v>2005</v>
      </c>
      <c r="C7" t="s">
        <v>497</v>
      </c>
      <c r="K7">
        <v>23780</v>
      </c>
      <c r="L7">
        <v>148000</v>
      </c>
    </row>
    <row r="8" spans="1:36" x14ac:dyDescent="0.3">
      <c r="A8" t="s">
        <v>29</v>
      </c>
      <c r="C8" t="s">
        <v>498</v>
      </c>
      <c r="D8">
        <v>0</v>
      </c>
      <c r="E8">
        <v>0</v>
      </c>
      <c r="H8">
        <v>0</v>
      </c>
      <c r="I8">
        <v>269000</v>
      </c>
      <c r="J8">
        <v>259000</v>
      </c>
      <c r="K8">
        <v>0</v>
      </c>
      <c r="L8">
        <v>162000</v>
      </c>
      <c r="M8">
        <v>0</v>
      </c>
      <c r="N8">
        <v>162000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X8">
        <v>0</v>
      </c>
      <c r="Y8">
        <v>0</v>
      </c>
      <c r="AA8">
        <v>0</v>
      </c>
      <c r="AB8">
        <v>0</v>
      </c>
      <c r="AC8">
        <v>0</v>
      </c>
      <c r="AE8">
        <v>0</v>
      </c>
      <c r="AF8">
        <v>0</v>
      </c>
      <c r="AI8">
        <v>0</v>
      </c>
      <c r="AJ8">
        <v>0</v>
      </c>
    </row>
    <row r="9" spans="1:36" x14ac:dyDescent="0.3">
      <c r="A9" t="s">
        <v>29</v>
      </c>
      <c r="C9" t="s">
        <v>499</v>
      </c>
      <c r="D9">
        <v>0</v>
      </c>
      <c r="E9">
        <v>0</v>
      </c>
      <c r="H9">
        <v>0</v>
      </c>
      <c r="I9">
        <v>337000</v>
      </c>
      <c r="J9">
        <v>221000</v>
      </c>
      <c r="K9">
        <v>337000</v>
      </c>
      <c r="L9">
        <v>234000</v>
      </c>
      <c r="M9">
        <v>0</v>
      </c>
      <c r="N9">
        <v>234000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X9">
        <v>0</v>
      </c>
      <c r="Y9">
        <v>0</v>
      </c>
      <c r="AA9">
        <v>0</v>
      </c>
      <c r="AB9">
        <v>0</v>
      </c>
      <c r="AC9">
        <v>0</v>
      </c>
      <c r="AE9">
        <v>1</v>
      </c>
      <c r="AF9">
        <v>0</v>
      </c>
      <c r="AI9">
        <v>0</v>
      </c>
      <c r="AJ9">
        <v>0</v>
      </c>
    </row>
    <row r="10" spans="1:36" x14ac:dyDescent="0.3">
      <c r="A10" t="s">
        <v>30</v>
      </c>
      <c r="B10">
        <v>2005</v>
      </c>
      <c r="C10" t="s">
        <v>500</v>
      </c>
      <c r="L10">
        <v>155000</v>
      </c>
    </row>
    <row r="11" spans="1:36" x14ac:dyDescent="0.3">
      <c r="A11" t="s">
        <v>30</v>
      </c>
      <c r="C11" t="s">
        <v>501</v>
      </c>
      <c r="D11">
        <v>0</v>
      </c>
      <c r="E11">
        <v>0</v>
      </c>
      <c r="H11">
        <v>0</v>
      </c>
      <c r="I11">
        <v>0</v>
      </c>
      <c r="J11">
        <v>0</v>
      </c>
      <c r="K11">
        <v>158000</v>
      </c>
      <c r="L11">
        <v>145000</v>
      </c>
      <c r="M11">
        <v>0</v>
      </c>
      <c r="N11">
        <v>145000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X11">
        <v>0</v>
      </c>
      <c r="Y11">
        <v>0</v>
      </c>
      <c r="AA11">
        <v>0</v>
      </c>
      <c r="AB11">
        <v>0</v>
      </c>
      <c r="AC11">
        <v>8.2278481012658222</v>
      </c>
      <c r="AE11">
        <v>0</v>
      </c>
      <c r="AF11">
        <v>0</v>
      </c>
      <c r="AI11">
        <v>0</v>
      </c>
      <c r="AJ11">
        <v>0</v>
      </c>
    </row>
    <row r="12" spans="1:36" x14ac:dyDescent="0.3">
      <c r="A12" t="s">
        <v>30</v>
      </c>
      <c r="C12" t="s">
        <v>502</v>
      </c>
      <c r="D12">
        <v>0</v>
      </c>
      <c r="E12">
        <v>0</v>
      </c>
      <c r="H12">
        <v>0</v>
      </c>
      <c r="I12">
        <v>0</v>
      </c>
      <c r="J12">
        <v>0</v>
      </c>
      <c r="K12">
        <v>138815</v>
      </c>
      <c r="L12">
        <v>174275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X12">
        <v>0</v>
      </c>
      <c r="Y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I12">
        <v>0</v>
      </c>
      <c r="AJ12">
        <v>0</v>
      </c>
    </row>
    <row r="13" spans="1:36" x14ac:dyDescent="0.3">
      <c r="A13" t="s">
        <v>31</v>
      </c>
      <c r="C13" t="s">
        <v>503</v>
      </c>
      <c r="D13">
        <v>0</v>
      </c>
      <c r="E13">
        <v>0</v>
      </c>
      <c r="H13">
        <v>0</v>
      </c>
      <c r="I13">
        <v>0</v>
      </c>
      <c r="J13">
        <v>0</v>
      </c>
      <c r="K13">
        <v>0</v>
      </c>
      <c r="L13">
        <v>155000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X13">
        <v>0</v>
      </c>
      <c r="Y13">
        <v>0</v>
      </c>
      <c r="AA13">
        <v>0</v>
      </c>
      <c r="AB13">
        <v>0</v>
      </c>
      <c r="AC13">
        <v>0</v>
      </c>
      <c r="AE13">
        <v>0</v>
      </c>
      <c r="AF13">
        <v>0</v>
      </c>
      <c r="AI13">
        <v>0</v>
      </c>
      <c r="AJ13">
        <v>0</v>
      </c>
    </row>
    <row r="14" spans="1:36" x14ac:dyDescent="0.3">
      <c r="A14" t="s">
        <v>32</v>
      </c>
      <c r="C14" t="s">
        <v>504</v>
      </c>
      <c r="D14">
        <v>0</v>
      </c>
      <c r="E14">
        <v>0</v>
      </c>
      <c r="H14">
        <v>0</v>
      </c>
      <c r="I14">
        <v>183000</v>
      </c>
      <c r="J14">
        <v>162000</v>
      </c>
      <c r="K14">
        <v>0</v>
      </c>
      <c r="L14">
        <v>155000</v>
      </c>
      <c r="M14">
        <v>0</v>
      </c>
      <c r="N14">
        <v>155000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X14">
        <v>0</v>
      </c>
      <c r="Y14">
        <v>0</v>
      </c>
      <c r="AA14">
        <v>0</v>
      </c>
      <c r="AB14">
        <v>0</v>
      </c>
      <c r="AC14">
        <v>15.300546448087429</v>
      </c>
      <c r="AE14">
        <v>0</v>
      </c>
      <c r="AF14">
        <v>0</v>
      </c>
      <c r="AI14">
        <v>0</v>
      </c>
      <c r="AJ14">
        <v>0</v>
      </c>
    </row>
    <row r="15" spans="1:36" x14ac:dyDescent="0.3">
      <c r="A15" t="s">
        <v>32</v>
      </c>
      <c r="B15" t="s">
        <v>505</v>
      </c>
      <c r="C15" t="s">
        <v>506</v>
      </c>
      <c r="D15">
        <v>0</v>
      </c>
      <c r="E15">
        <v>0</v>
      </c>
      <c r="H15">
        <v>0</v>
      </c>
      <c r="I15">
        <v>159000</v>
      </c>
      <c r="J15">
        <v>0</v>
      </c>
      <c r="K15">
        <v>159000</v>
      </c>
      <c r="L15">
        <v>0</v>
      </c>
      <c r="M15">
        <v>0</v>
      </c>
      <c r="N15">
        <v>145250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X15">
        <v>0</v>
      </c>
      <c r="Y15">
        <v>0</v>
      </c>
      <c r="AA15">
        <v>0</v>
      </c>
      <c r="AB15">
        <v>0</v>
      </c>
      <c r="AC15">
        <v>8.6477987421383684</v>
      </c>
      <c r="AE15">
        <v>0</v>
      </c>
      <c r="AF15">
        <v>0</v>
      </c>
      <c r="AI15">
        <v>0</v>
      </c>
      <c r="AJ15">
        <v>0</v>
      </c>
    </row>
    <row r="16" spans="1:36" x14ac:dyDescent="0.3">
      <c r="A16" t="s">
        <v>33</v>
      </c>
      <c r="C16" t="s">
        <v>507</v>
      </c>
      <c r="D16">
        <v>0</v>
      </c>
      <c r="E16">
        <v>0</v>
      </c>
      <c r="H16">
        <v>0</v>
      </c>
      <c r="I16">
        <v>0</v>
      </c>
      <c r="J16">
        <v>0</v>
      </c>
      <c r="K16">
        <v>0</v>
      </c>
      <c r="L16">
        <v>162000</v>
      </c>
      <c r="M16">
        <v>0</v>
      </c>
      <c r="N16">
        <v>162000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X16">
        <v>0</v>
      </c>
      <c r="Y16">
        <v>0</v>
      </c>
      <c r="AA16">
        <v>0</v>
      </c>
      <c r="AB16">
        <v>0</v>
      </c>
      <c r="AC16">
        <v>0</v>
      </c>
      <c r="AE16">
        <v>0</v>
      </c>
      <c r="AF16">
        <v>0</v>
      </c>
      <c r="AI16">
        <v>0</v>
      </c>
      <c r="AJ16">
        <v>0</v>
      </c>
    </row>
    <row r="17" spans="1:36" x14ac:dyDescent="0.3">
      <c r="A17" t="s">
        <v>33</v>
      </c>
      <c r="B17" t="s">
        <v>508</v>
      </c>
      <c r="C17" t="s">
        <v>509</v>
      </c>
      <c r="D17">
        <v>0</v>
      </c>
      <c r="E17">
        <v>0</v>
      </c>
      <c r="H17">
        <v>0</v>
      </c>
      <c r="I17">
        <v>436000</v>
      </c>
      <c r="J17">
        <v>430000</v>
      </c>
      <c r="K17">
        <v>0</v>
      </c>
      <c r="L17">
        <v>0</v>
      </c>
      <c r="M17">
        <v>0</v>
      </c>
      <c r="N17">
        <v>229000</v>
      </c>
      <c r="O17">
        <v>-1000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X17">
        <v>0</v>
      </c>
      <c r="Y17">
        <v>0</v>
      </c>
      <c r="AA17">
        <v>0</v>
      </c>
      <c r="AB17">
        <v>0</v>
      </c>
      <c r="AC17">
        <v>0</v>
      </c>
      <c r="AE17">
        <v>0</v>
      </c>
      <c r="AF17">
        <v>0</v>
      </c>
      <c r="AI17">
        <v>0</v>
      </c>
      <c r="AJ17">
        <v>0</v>
      </c>
    </row>
    <row r="18" spans="1:36" x14ac:dyDescent="0.3">
      <c r="A18" t="s">
        <v>35</v>
      </c>
      <c r="C18" t="s">
        <v>510</v>
      </c>
      <c r="D18">
        <v>0</v>
      </c>
      <c r="E18">
        <v>0</v>
      </c>
      <c r="H18">
        <v>0</v>
      </c>
      <c r="I18">
        <v>0</v>
      </c>
      <c r="J18">
        <v>0</v>
      </c>
      <c r="K18">
        <v>0</v>
      </c>
      <c r="L18">
        <v>163500</v>
      </c>
      <c r="M18">
        <v>0</v>
      </c>
      <c r="N18">
        <v>163500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X18">
        <v>0</v>
      </c>
      <c r="Y18">
        <v>0</v>
      </c>
      <c r="AA18">
        <v>0</v>
      </c>
      <c r="AB18">
        <v>0</v>
      </c>
      <c r="AC18">
        <v>0</v>
      </c>
      <c r="AE18">
        <v>0</v>
      </c>
      <c r="AF18">
        <v>0</v>
      </c>
      <c r="AI18">
        <v>0</v>
      </c>
      <c r="AJ18">
        <v>0</v>
      </c>
    </row>
    <row r="19" spans="1:36" x14ac:dyDescent="0.3">
      <c r="A19" t="s">
        <v>35</v>
      </c>
      <c r="B19" t="s">
        <v>511</v>
      </c>
      <c r="C19" t="s">
        <v>512</v>
      </c>
      <c r="D19">
        <v>0</v>
      </c>
      <c r="E19">
        <v>0</v>
      </c>
      <c r="H19">
        <v>0</v>
      </c>
      <c r="I19">
        <v>469000</v>
      </c>
      <c r="J19">
        <v>462739</v>
      </c>
      <c r="K19">
        <v>0</v>
      </c>
      <c r="L19">
        <v>0</v>
      </c>
      <c r="M19">
        <v>0</v>
      </c>
      <c r="N19">
        <v>239875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X19">
        <v>0</v>
      </c>
      <c r="Y19">
        <v>0</v>
      </c>
      <c r="AA19">
        <v>0</v>
      </c>
      <c r="AB19">
        <v>0</v>
      </c>
      <c r="AC19">
        <v>48.853944562899777</v>
      </c>
      <c r="AE19">
        <v>0</v>
      </c>
      <c r="AF19">
        <v>0</v>
      </c>
      <c r="AJ19">
        <v>0</v>
      </c>
    </row>
    <row r="20" spans="1:36" x14ac:dyDescent="0.3">
      <c r="A20" t="s">
        <v>36</v>
      </c>
      <c r="B20" t="s">
        <v>513</v>
      </c>
      <c r="C20" t="s">
        <v>514</v>
      </c>
      <c r="D20">
        <v>0</v>
      </c>
      <c r="E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135000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X20">
        <v>0</v>
      </c>
      <c r="Y20">
        <v>0</v>
      </c>
      <c r="AA20">
        <v>0</v>
      </c>
      <c r="AB20">
        <v>0</v>
      </c>
      <c r="AC20">
        <v>0</v>
      </c>
      <c r="AE20">
        <v>0</v>
      </c>
      <c r="AF20">
        <v>0</v>
      </c>
      <c r="AJ20">
        <v>0</v>
      </c>
    </row>
    <row r="21" spans="1:36" x14ac:dyDescent="0.3">
      <c r="A21" t="s">
        <v>38</v>
      </c>
      <c r="B21" t="s">
        <v>515</v>
      </c>
      <c r="C21" t="s">
        <v>516</v>
      </c>
      <c r="D21">
        <v>0</v>
      </c>
      <c r="E21">
        <v>0</v>
      </c>
      <c r="H21">
        <v>0</v>
      </c>
      <c r="I21">
        <v>0</v>
      </c>
      <c r="J21">
        <v>0</v>
      </c>
      <c r="K21">
        <v>139419</v>
      </c>
      <c r="L21">
        <v>0</v>
      </c>
      <c r="M21">
        <v>0</v>
      </c>
      <c r="N21">
        <v>125000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X21">
        <v>0</v>
      </c>
      <c r="Y21">
        <v>0</v>
      </c>
      <c r="AA21">
        <v>0</v>
      </c>
      <c r="AB21">
        <v>0</v>
      </c>
      <c r="AC21">
        <v>0</v>
      </c>
      <c r="AE21">
        <v>0</v>
      </c>
      <c r="AF21">
        <v>0</v>
      </c>
      <c r="AI21">
        <v>0</v>
      </c>
      <c r="AJ21">
        <v>0</v>
      </c>
    </row>
    <row r="22" spans="1:36" x14ac:dyDescent="0.3">
      <c r="A22" t="s">
        <v>39</v>
      </c>
      <c r="C22" t="s">
        <v>517</v>
      </c>
      <c r="D22">
        <v>0</v>
      </c>
      <c r="E22">
        <v>0</v>
      </c>
      <c r="H22">
        <v>0</v>
      </c>
      <c r="I22">
        <v>0</v>
      </c>
      <c r="J22">
        <v>0</v>
      </c>
      <c r="K22">
        <v>79426</v>
      </c>
      <c r="L22">
        <v>126270</v>
      </c>
      <c r="M22">
        <v>-500</v>
      </c>
      <c r="N22">
        <v>126270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X22">
        <v>0</v>
      </c>
      <c r="Y22">
        <v>0</v>
      </c>
      <c r="AA22">
        <v>0</v>
      </c>
      <c r="AB22">
        <v>0</v>
      </c>
      <c r="AC22">
        <v>0</v>
      </c>
      <c r="AE22">
        <v>0</v>
      </c>
      <c r="AF22">
        <v>0</v>
      </c>
      <c r="AI22">
        <v>0</v>
      </c>
      <c r="AJ22">
        <v>0</v>
      </c>
    </row>
    <row r="23" spans="1:36" x14ac:dyDescent="0.3">
      <c r="A23" t="s">
        <v>40</v>
      </c>
      <c r="C23" t="s">
        <v>518</v>
      </c>
      <c r="D23">
        <v>0</v>
      </c>
      <c r="E23">
        <v>0</v>
      </c>
      <c r="H23">
        <v>0</v>
      </c>
      <c r="I23">
        <v>0</v>
      </c>
      <c r="J23">
        <v>0</v>
      </c>
      <c r="K23">
        <v>117855</v>
      </c>
      <c r="L23">
        <v>207500</v>
      </c>
      <c r="M23">
        <v>0</v>
      </c>
      <c r="N23">
        <v>207500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X23">
        <v>0</v>
      </c>
      <c r="Y23">
        <v>0</v>
      </c>
      <c r="AA23">
        <v>0</v>
      </c>
      <c r="AB23">
        <v>0</v>
      </c>
      <c r="AC23">
        <v>0</v>
      </c>
      <c r="AE23">
        <v>0</v>
      </c>
      <c r="AF23">
        <v>0</v>
      </c>
      <c r="AI23">
        <v>0</v>
      </c>
      <c r="AJ23">
        <v>0</v>
      </c>
    </row>
    <row r="24" spans="1:36" x14ac:dyDescent="0.3">
      <c r="A24" t="s">
        <v>41</v>
      </c>
      <c r="B24" t="s">
        <v>511</v>
      </c>
      <c r="C24" t="s">
        <v>519</v>
      </c>
      <c r="D24">
        <v>0</v>
      </c>
      <c r="E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402000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X24">
        <v>0</v>
      </c>
      <c r="Y24">
        <v>0</v>
      </c>
      <c r="AA24">
        <v>0</v>
      </c>
      <c r="AB24">
        <v>0</v>
      </c>
      <c r="AC24">
        <v>0</v>
      </c>
      <c r="AE24">
        <v>0</v>
      </c>
      <c r="AF24">
        <v>0</v>
      </c>
      <c r="AI24">
        <v>0</v>
      </c>
      <c r="AJ24">
        <v>0</v>
      </c>
    </row>
    <row r="25" spans="1:36" x14ac:dyDescent="0.3">
      <c r="A25" t="s">
        <v>42</v>
      </c>
      <c r="B25" t="s">
        <v>511</v>
      </c>
      <c r="C25" t="s">
        <v>520</v>
      </c>
      <c r="D25">
        <v>0</v>
      </c>
      <c r="E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203000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X25">
        <v>0</v>
      </c>
      <c r="Y25">
        <v>0</v>
      </c>
      <c r="AA25">
        <v>0</v>
      </c>
      <c r="AB25">
        <v>0</v>
      </c>
      <c r="AC25">
        <v>0</v>
      </c>
      <c r="AE25">
        <v>0</v>
      </c>
      <c r="AF25">
        <v>0</v>
      </c>
      <c r="AI25">
        <v>0</v>
      </c>
      <c r="AJ25">
        <v>0</v>
      </c>
    </row>
    <row r="26" spans="1:36" x14ac:dyDescent="0.3">
      <c r="A26" t="s">
        <v>43</v>
      </c>
      <c r="B26" t="s">
        <v>511</v>
      </c>
      <c r="C26" t="s">
        <v>521</v>
      </c>
      <c r="D26">
        <v>0</v>
      </c>
      <c r="E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187000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X26">
        <v>0</v>
      </c>
      <c r="Y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I26">
        <v>0</v>
      </c>
      <c r="AJ26">
        <v>0</v>
      </c>
    </row>
    <row r="27" spans="1:36" x14ac:dyDescent="0.3">
      <c r="A27" t="s">
        <v>44</v>
      </c>
      <c r="B27" t="s">
        <v>511</v>
      </c>
      <c r="C27" t="s">
        <v>522</v>
      </c>
      <c r="D27">
        <v>0</v>
      </c>
      <c r="E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172000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X27">
        <v>0</v>
      </c>
      <c r="Y27">
        <v>0</v>
      </c>
      <c r="AA27">
        <v>0</v>
      </c>
      <c r="AB27">
        <v>0</v>
      </c>
      <c r="AC27">
        <v>0</v>
      </c>
      <c r="AE27">
        <v>0</v>
      </c>
      <c r="AF27">
        <v>0</v>
      </c>
      <c r="AI27">
        <v>0</v>
      </c>
      <c r="AJ27">
        <v>0</v>
      </c>
    </row>
    <row r="28" spans="1:36" x14ac:dyDescent="0.3">
      <c r="A28" t="s">
        <v>45</v>
      </c>
      <c r="B28" t="s">
        <v>511</v>
      </c>
      <c r="C28" t="s">
        <v>523</v>
      </c>
      <c r="D28">
        <v>0</v>
      </c>
      <c r="E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204000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X28">
        <v>0</v>
      </c>
      <c r="Y28">
        <v>0</v>
      </c>
      <c r="AA28">
        <v>0</v>
      </c>
      <c r="AB28">
        <v>0</v>
      </c>
      <c r="AC28">
        <v>0</v>
      </c>
      <c r="AE28">
        <v>0</v>
      </c>
      <c r="AF28">
        <v>0</v>
      </c>
      <c r="AI28">
        <v>0</v>
      </c>
      <c r="AJ28">
        <v>0</v>
      </c>
    </row>
    <row r="29" spans="1:36" x14ac:dyDescent="0.3">
      <c r="A29" t="s">
        <v>46</v>
      </c>
      <c r="B29" t="s">
        <v>511</v>
      </c>
      <c r="C29" t="s">
        <v>524</v>
      </c>
      <c r="D29">
        <v>0</v>
      </c>
      <c r="E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216000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X29">
        <v>0</v>
      </c>
      <c r="Y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I29">
        <v>0</v>
      </c>
      <c r="AJ29">
        <v>0</v>
      </c>
    </row>
    <row r="30" spans="1:36" x14ac:dyDescent="0.3">
      <c r="A30" t="s">
        <v>47</v>
      </c>
      <c r="B30" t="s">
        <v>525</v>
      </c>
      <c r="C30" t="s">
        <v>526</v>
      </c>
      <c r="D30">
        <v>0</v>
      </c>
      <c r="E30">
        <v>0</v>
      </c>
      <c r="H30">
        <v>0</v>
      </c>
      <c r="I30">
        <v>0</v>
      </c>
      <c r="J30">
        <v>0</v>
      </c>
      <c r="K30">
        <v>0</v>
      </c>
      <c r="L30">
        <v>257000</v>
      </c>
      <c r="M30">
        <v>0</v>
      </c>
      <c r="N30">
        <v>120000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X30">
        <v>0</v>
      </c>
      <c r="Y30">
        <v>0</v>
      </c>
      <c r="AA30">
        <v>0</v>
      </c>
      <c r="AB30">
        <v>0</v>
      </c>
      <c r="AC30">
        <v>0</v>
      </c>
      <c r="AE30">
        <v>0</v>
      </c>
      <c r="AF30">
        <v>0</v>
      </c>
      <c r="AI30">
        <v>0</v>
      </c>
      <c r="AJ30">
        <v>0</v>
      </c>
    </row>
    <row r="31" spans="1:36" x14ac:dyDescent="0.3">
      <c r="A31" t="s">
        <v>49</v>
      </c>
      <c r="B31" t="s">
        <v>525</v>
      </c>
      <c r="C31" t="s">
        <v>527</v>
      </c>
      <c r="D31">
        <v>0</v>
      </c>
      <c r="E31">
        <v>0</v>
      </c>
      <c r="H31">
        <v>0</v>
      </c>
      <c r="I31">
        <v>0</v>
      </c>
      <c r="J31">
        <v>0</v>
      </c>
      <c r="K31">
        <v>0</v>
      </c>
      <c r="L31">
        <v>310000</v>
      </c>
      <c r="M31">
        <v>0</v>
      </c>
      <c r="N31">
        <v>120000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X31">
        <v>0</v>
      </c>
      <c r="Y31">
        <v>0</v>
      </c>
      <c r="AA31">
        <v>0</v>
      </c>
      <c r="AB31">
        <v>0</v>
      </c>
      <c r="AC31">
        <v>0</v>
      </c>
      <c r="AE31">
        <v>0</v>
      </c>
      <c r="AF31">
        <v>0</v>
      </c>
      <c r="AI31">
        <v>0</v>
      </c>
      <c r="AJ31">
        <v>0</v>
      </c>
    </row>
    <row r="32" spans="1:36" x14ac:dyDescent="0.3">
      <c r="A32" t="s">
        <v>51</v>
      </c>
      <c r="B32" t="s">
        <v>513</v>
      </c>
      <c r="C32" t="s">
        <v>528</v>
      </c>
      <c r="D32">
        <v>0</v>
      </c>
      <c r="E32">
        <v>0</v>
      </c>
      <c r="H32">
        <v>0</v>
      </c>
      <c r="I32">
        <v>202000</v>
      </c>
      <c r="J32">
        <v>194275</v>
      </c>
      <c r="K32">
        <v>0</v>
      </c>
      <c r="L32">
        <v>0</v>
      </c>
      <c r="M32">
        <v>0</v>
      </c>
      <c r="N32">
        <v>166900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X32">
        <v>0</v>
      </c>
      <c r="Y32">
        <v>0</v>
      </c>
      <c r="AA32">
        <v>0</v>
      </c>
      <c r="AB32">
        <v>0</v>
      </c>
      <c r="AC32">
        <v>0</v>
      </c>
      <c r="AE32">
        <v>0</v>
      </c>
      <c r="AF32">
        <v>0</v>
      </c>
      <c r="AI32">
        <v>0</v>
      </c>
      <c r="AJ32">
        <v>0</v>
      </c>
    </row>
    <row r="33" spans="1:36" x14ac:dyDescent="0.3">
      <c r="A33" t="s">
        <v>51</v>
      </c>
      <c r="C33" t="s">
        <v>529</v>
      </c>
      <c r="K33">
        <v>114780</v>
      </c>
      <c r="L33">
        <v>166900</v>
      </c>
    </row>
    <row r="34" spans="1:36" x14ac:dyDescent="0.3">
      <c r="A34" t="s">
        <v>51</v>
      </c>
      <c r="C34" t="s">
        <v>530</v>
      </c>
      <c r="D34">
        <v>0</v>
      </c>
      <c r="E34">
        <v>0</v>
      </c>
      <c r="H34">
        <v>0</v>
      </c>
      <c r="I34">
        <v>234000</v>
      </c>
      <c r="J34">
        <v>0</v>
      </c>
      <c r="K34">
        <v>133706</v>
      </c>
      <c r="L34">
        <v>166900</v>
      </c>
      <c r="M34">
        <v>0</v>
      </c>
      <c r="N34">
        <v>176831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X34">
        <v>0</v>
      </c>
      <c r="Y34">
        <v>0</v>
      </c>
      <c r="AA34">
        <v>0</v>
      </c>
      <c r="AB34">
        <v>0</v>
      </c>
      <c r="AC34">
        <v>0</v>
      </c>
      <c r="AE34">
        <v>0</v>
      </c>
      <c r="AF34">
        <v>0</v>
      </c>
      <c r="AI34">
        <v>0</v>
      </c>
      <c r="AJ34">
        <v>0</v>
      </c>
    </row>
    <row r="35" spans="1:36" x14ac:dyDescent="0.3">
      <c r="A35" t="s">
        <v>51</v>
      </c>
      <c r="C35" t="s">
        <v>531</v>
      </c>
      <c r="K35">
        <v>133706</v>
      </c>
      <c r="L35">
        <v>176831</v>
      </c>
    </row>
    <row r="36" spans="1:36" x14ac:dyDescent="0.3">
      <c r="A36" t="s">
        <v>52</v>
      </c>
      <c r="B36" t="s">
        <v>513</v>
      </c>
      <c r="C36" t="s">
        <v>532</v>
      </c>
      <c r="D36">
        <v>0</v>
      </c>
      <c r="E36">
        <v>0</v>
      </c>
      <c r="H36">
        <v>0</v>
      </c>
      <c r="I36">
        <v>0</v>
      </c>
      <c r="J36">
        <v>0</v>
      </c>
      <c r="K36">
        <v>285000</v>
      </c>
      <c r="L36">
        <v>0</v>
      </c>
      <c r="M36">
        <v>0</v>
      </c>
      <c r="N36">
        <v>166900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X36">
        <v>0</v>
      </c>
      <c r="Y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I36">
        <v>0</v>
      </c>
      <c r="AJ36">
        <v>0</v>
      </c>
    </row>
    <row r="37" spans="1:36" x14ac:dyDescent="0.3">
      <c r="A37" t="s">
        <v>53</v>
      </c>
      <c r="B37" t="s">
        <v>533</v>
      </c>
      <c r="C37" t="s">
        <v>534</v>
      </c>
      <c r="D37">
        <v>0</v>
      </c>
      <c r="E37">
        <v>0</v>
      </c>
      <c r="H37">
        <v>0</v>
      </c>
      <c r="I37">
        <v>191000</v>
      </c>
      <c r="J37">
        <v>180000</v>
      </c>
      <c r="K37">
        <v>191000</v>
      </c>
      <c r="L37">
        <v>167200</v>
      </c>
      <c r="M37">
        <v>0</v>
      </c>
      <c r="N37">
        <v>167200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X37">
        <v>0</v>
      </c>
      <c r="Y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I37">
        <v>0</v>
      </c>
      <c r="AJ37">
        <v>0</v>
      </c>
    </row>
    <row r="38" spans="1:36" x14ac:dyDescent="0.3">
      <c r="A38" t="s">
        <v>54</v>
      </c>
      <c r="B38" t="s">
        <v>535</v>
      </c>
      <c r="C38" t="s">
        <v>536</v>
      </c>
      <c r="D38">
        <v>0</v>
      </c>
      <c r="E38">
        <v>0</v>
      </c>
      <c r="H38">
        <v>0</v>
      </c>
      <c r="I38">
        <v>525000</v>
      </c>
      <c r="J38">
        <v>0</v>
      </c>
      <c r="K38">
        <v>277218</v>
      </c>
      <c r="L38">
        <v>444276</v>
      </c>
      <c r="M38">
        <v>0</v>
      </c>
      <c r="N38">
        <v>444276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X38">
        <v>0</v>
      </c>
      <c r="Y38">
        <v>0</v>
      </c>
      <c r="AA38">
        <v>0</v>
      </c>
      <c r="AB38">
        <v>0</v>
      </c>
      <c r="AC38">
        <v>0</v>
      </c>
      <c r="AE38">
        <v>0</v>
      </c>
      <c r="AF38">
        <v>0</v>
      </c>
      <c r="AI38">
        <v>0</v>
      </c>
      <c r="AJ38">
        <v>0</v>
      </c>
    </row>
    <row r="39" spans="1:36" x14ac:dyDescent="0.3">
      <c r="A39" t="s">
        <v>55</v>
      </c>
      <c r="B39" t="s">
        <v>535</v>
      </c>
      <c r="C39" t="s">
        <v>537</v>
      </c>
      <c r="D39">
        <v>0</v>
      </c>
      <c r="E39">
        <v>0</v>
      </c>
      <c r="H39">
        <v>0</v>
      </c>
      <c r="I39">
        <v>475000</v>
      </c>
      <c r="J39">
        <v>0</v>
      </c>
      <c r="K39">
        <v>280420</v>
      </c>
      <c r="L39">
        <v>424972</v>
      </c>
      <c r="M39">
        <v>0</v>
      </c>
      <c r="N39">
        <v>424972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X39">
        <v>0</v>
      </c>
      <c r="Y39">
        <v>0</v>
      </c>
      <c r="AA39">
        <v>0</v>
      </c>
      <c r="AB39">
        <v>0</v>
      </c>
      <c r="AC39">
        <v>0</v>
      </c>
      <c r="AE39">
        <v>0</v>
      </c>
      <c r="AF39">
        <v>0</v>
      </c>
      <c r="AI39">
        <v>0</v>
      </c>
      <c r="AJ39">
        <v>0</v>
      </c>
    </row>
    <row r="40" spans="1:36" x14ac:dyDescent="0.3">
      <c r="A40" t="s">
        <v>56</v>
      </c>
      <c r="B40" t="s">
        <v>538</v>
      </c>
      <c r="C40" t="s">
        <v>539</v>
      </c>
      <c r="D40">
        <v>0</v>
      </c>
      <c r="E40">
        <v>0</v>
      </c>
      <c r="H40">
        <v>0</v>
      </c>
      <c r="I40">
        <v>276000</v>
      </c>
      <c r="J40">
        <v>273819</v>
      </c>
      <c r="K40">
        <v>211292</v>
      </c>
      <c r="L40">
        <v>273401</v>
      </c>
      <c r="M40">
        <v>0</v>
      </c>
      <c r="N40">
        <v>273401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X40">
        <v>0</v>
      </c>
      <c r="Y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I40">
        <v>0</v>
      </c>
      <c r="AJ40">
        <v>0</v>
      </c>
    </row>
    <row r="41" spans="1:36" x14ac:dyDescent="0.3">
      <c r="A41" t="s">
        <v>57</v>
      </c>
      <c r="B41" t="s">
        <v>525</v>
      </c>
      <c r="C41" t="s">
        <v>540</v>
      </c>
      <c r="D41">
        <v>0</v>
      </c>
      <c r="E41">
        <v>0</v>
      </c>
      <c r="H41">
        <v>0</v>
      </c>
      <c r="I41">
        <v>555000</v>
      </c>
      <c r="J41">
        <v>548739</v>
      </c>
      <c r="K41">
        <v>275071</v>
      </c>
      <c r="L41">
        <v>399911</v>
      </c>
      <c r="M41">
        <v>0</v>
      </c>
      <c r="N41">
        <v>399911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X41">
        <v>0</v>
      </c>
      <c r="Y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I41">
        <v>0</v>
      </c>
      <c r="AJ41">
        <v>0</v>
      </c>
    </row>
    <row r="42" spans="1:36" x14ac:dyDescent="0.3">
      <c r="A42" t="s">
        <v>66</v>
      </c>
      <c r="B42" t="s">
        <v>541</v>
      </c>
      <c r="C42" t="s">
        <v>542</v>
      </c>
      <c r="D42">
        <v>49333.73</v>
      </c>
      <c r="E42">
        <v>76532.3</v>
      </c>
      <c r="G42" t="s">
        <v>543</v>
      </c>
      <c r="H42">
        <v>98000</v>
      </c>
      <c r="I42">
        <v>100000</v>
      </c>
      <c r="J42">
        <v>89200</v>
      </c>
      <c r="K42">
        <v>0</v>
      </c>
      <c r="L42">
        <v>89200</v>
      </c>
      <c r="M42">
        <v>0</v>
      </c>
      <c r="N42">
        <v>71360</v>
      </c>
      <c r="O42">
        <v>71360</v>
      </c>
      <c r="P42">
        <v>509</v>
      </c>
      <c r="Q42">
        <v>0</v>
      </c>
      <c r="R42">
        <v>25</v>
      </c>
      <c r="S42">
        <v>0</v>
      </c>
      <c r="T42">
        <v>0</v>
      </c>
      <c r="U42">
        <v>0</v>
      </c>
      <c r="X42">
        <v>32427.65</v>
      </c>
      <c r="Y42">
        <v>0</v>
      </c>
      <c r="AA42">
        <v>0</v>
      </c>
      <c r="AB42">
        <v>0</v>
      </c>
      <c r="AC42">
        <v>28.64</v>
      </c>
      <c r="AE42">
        <v>1</v>
      </c>
      <c r="AF42">
        <v>77</v>
      </c>
      <c r="AI42">
        <v>0</v>
      </c>
      <c r="AJ42">
        <v>0</v>
      </c>
    </row>
    <row r="43" spans="1:36" x14ac:dyDescent="0.3">
      <c r="A43" t="s">
        <v>71</v>
      </c>
      <c r="B43" t="s">
        <v>544</v>
      </c>
      <c r="C43" t="s">
        <v>544</v>
      </c>
      <c r="D43">
        <v>100345.06</v>
      </c>
      <c r="E43">
        <v>38746</v>
      </c>
      <c r="G43" t="s">
        <v>543</v>
      </c>
      <c r="H43">
        <v>78000</v>
      </c>
      <c r="I43">
        <v>81000</v>
      </c>
      <c r="J43">
        <v>72000</v>
      </c>
      <c r="K43">
        <v>0</v>
      </c>
      <c r="L43">
        <v>72000</v>
      </c>
      <c r="M43">
        <v>14400</v>
      </c>
      <c r="N43">
        <v>57600</v>
      </c>
      <c r="O43">
        <v>57600</v>
      </c>
      <c r="P43">
        <v>492.24</v>
      </c>
      <c r="Q43">
        <v>0</v>
      </c>
      <c r="R43">
        <v>25</v>
      </c>
      <c r="S43">
        <v>0</v>
      </c>
      <c r="T43">
        <v>0</v>
      </c>
      <c r="U43">
        <v>0</v>
      </c>
      <c r="X43">
        <v>37468</v>
      </c>
      <c r="Y43">
        <v>0</v>
      </c>
      <c r="AA43">
        <v>0</v>
      </c>
      <c r="AB43">
        <v>0</v>
      </c>
      <c r="AC43">
        <v>28.888888888888889</v>
      </c>
      <c r="AE43">
        <v>5</v>
      </c>
      <c r="AF43">
        <v>57</v>
      </c>
      <c r="AI43">
        <v>0</v>
      </c>
      <c r="AJ43">
        <v>0</v>
      </c>
    </row>
    <row r="44" spans="1:36" x14ac:dyDescent="0.3">
      <c r="A44" t="s">
        <v>72</v>
      </c>
      <c r="C44" t="s">
        <v>545</v>
      </c>
      <c r="D44">
        <v>0</v>
      </c>
      <c r="E44">
        <v>0</v>
      </c>
      <c r="H44">
        <v>0</v>
      </c>
      <c r="I44">
        <v>254400</v>
      </c>
      <c r="J44">
        <v>237000</v>
      </c>
      <c r="K44">
        <v>0</v>
      </c>
      <c r="L44">
        <v>237000</v>
      </c>
      <c r="M44">
        <v>93000</v>
      </c>
      <c r="N44">
        <v>144000</v>
      </c>
      <c r="O44">
        <v>132000</v>
      </c>
      <c r="P44">
        <v>565.46</v>
      </c>
      <c r="Q44">
        <v>237.92099999999999</v>
      </c>
      <c r="R44">
        <v>30</v>
      </c>
      <c r="S44">
        <v>3.125E-2</v>
      </c>
      <c r="T44">
        <v>0</v>
      </c>
      <c r="U44">
        <v>0</v>
      </c>
      <c r="X44">
        <v>41251</v>
      </c>
      <c r="Y44">
        <v>0</v>
      </c>
      <c r="AA44">
        <v>0</v>
      </c>
      <c r="AB44">
        <v>0</v>
      </c>
      <c r="AC44">
        <v>43.39622641509434</v>
      </c>
      <c r="AE44">
        <v>2</v>
      </c>
      <c r="AF44">
        <v>75</v>
      </c>
      <c r="AI44">
        <v>0</v>
      </c>
      <c r="AJ44">
        <v>0</v>
      </c>
    </row>
    <row r="45" spans="1:36" x14ac:dyDescent="0.3">
      <c r="A45" t="s">
        <v>73</v>
      </c>
      <c r="C45" t="s">
        <v>546</v>
      </c>
      <c r="D45">
        <v>0</v>
      </c>
      <c r="E45">
        <v>0</v>
      </c>
      <c r="H45">
        <v>0</v>
      </c>
      <c r="I45">
        <v>254000</v>
      </c>
      <c r="J45">
        <v>236000</v>
      </c>
      <c r="K45">
        <v>0</v>
      </c>
      <c r="L45">
        <v>236000</v>
      </c>
      <c r="M45">
        <v>92000</v>
      </c>
      <c r="N45">
        <v>144000</v>
      </c>
      <c r="O45">
        <v>122000</v>
      </c>
      <c r="P45">
        <v>522.62</v>
      </c>
      <c r="Q45">
        <v>222.4</v>
      </c>
      <c r="R45">
        <v>30</v>
      </c>
      <c r="S45">
        <v>3.125E-2</v>
      </c>
      <c r="T45">
        <v>0</v>
      </c>
      <c r="U45">
        <v>0</v>
      </c>
      <c r="X45">
        <v>44106</v>
      </c>
      <c r="Y45">
        <v>0</v>
      </c>
      <c r="AA45">
        <v>0</v>
      </c>
      <c r="AB45">
        <v>0</v>
      </c>
      <c r="AC45">
        <v>43.30708661417323</v>
      </c>
      <c r="AE45">
        <v>4</v>
      </c>
      <c r="AF45">
        <v>64</v>
      </c>
      <c r="AI45">
        <v>0</v>
      </c>
      <c r="AJ45">
        <v>0</v>
      </c>
    </row>
    <row r="46" spans="1:36" x14ac:dyDescent="0.3">
      <c r="A46" t="s">
        <v>74</v>
      </c>
      <c r="B46" t="s">
        <v>547</v>
      </c>
      <c r="C46" t="s">
        <v>547</v>
      </c>
      <c r="D46">
        <v>98164.93</v>
      </c>
      <c r="E46">
        <v>33297.870000000003</v>
      </c>
      <c r="G46" t="s">
        <v>543</v>
      </c>
      <c r="H46">
        <v>95000</v>
      </c>
      <c r="I46">
        <v>99000</v>
      </c>
      <c r="J46">
        <v>89500</v>
      </c>
      <c r="K46">
        <v>0</v>
      </c>
      <c r="L46">
        <v>89500</v>
      </c>
      <c r="M46">
        <v>17900</v>
      </c>
      <c r="N46">
        <v>71600</v>
      </c>
      <c r="O46">
        <v>71600</v>
      </c>
      <c r="P46">
        <v>543.92999999999995</v>
      </c>
      <c r="Q46">
        <v>0</v>
      </c>
      <c r="R46">
        <v>25</v>
      </c>
      <c r="S46">
        <v>0</v>
      </c>
      <c r="T46">
        <v>0</v>
      </c>
      <c r="U46">
        <v>0</v>
      </c>
      <c r="X46">
        <v>24450.36</v>
      </c>
      <c r="Y46">
        <v>0</v>
      </c>
      <c r="AA46">
        <v>0</v>
      </c>
      <c r="AB46">
        <v>0</v>
      </c>
      <c r="AC46">
        <v>27.676767676767678</v>
      </c>
      <c r="AE46">
        <v>1</v>
      </c>
      <c r="AF46">
        <v>57</v>
      </c>
      <c r="AI46">
        <v>0</v>
      </c>
      <c r="AJ46">
        <v>0</v>
      </c>
    </row>
    <row r="47" spans="1:36" x14ac:dyDescent="0.3">
      <c r="A47" t="s">
        <v>75</v>
      </c>
      <c r="B47" t="s">
        <v>548</v>
      </c>
      <c r="C47" t="s">
        <v>549</v>
      </c>
      <c r="D47">
        <v>93060</v>
      </c>
      <c r="E47">
        <v>67961.990000000005</v>
      </c>
      <c r="G47" t="s">
        <v>543</v>
      </c>
      <c r="H47">
        <v>105000</v>
      </c>
      <c r="I47">
        <v>135000</v>
      </c>
      <c r="J47">
        <v>105000</v>
      </c>
      <c r="K47">
        <v>0</v>
      </c>
      <c r="L47">
        <v>105000</v>
      </c>
      <c r="M47">
        <v>21000</v>
      </c>
      <c r="N47">
        <v>84000</v>
      </c>
      <c r="O47">
        <v>84000</v>
      </c>
      <c r="P47">
        <v>438.19</v>
      </c>
      <c r="Q47">
        <v>117.53</v>
      </c>
      <c r="R47">
        <v>75</v>
      </c>
      <c r="S47">
        <v>4.7500000000000001E-2</v>
      </c>
      <c r="T47">
        <v>0</v>
      </c>
      <c r="U47">
        <v>0</v>
      </c>
      <c r="X47">
        <v>35627.919999999998</v>
      </c>
      <c r="Y47">
        <v>0</v>
      </c>
      <c r="AA47">
        <v>0</v>
      </c>
      <c r="AB47">
        <v>0</v>
      </c>
      <c r="AC47">
        <v>37.777777777777779</v>
      </c>
      <c r="AE47">
        <v>3</v>
      </c>
      <c r="AF47">
        <v>67</v>
      </c>
      <c r="AI47">
        <v>0</v>
      </c>
      <c r="AJ47">
        <v>0</v>
      </c>
    </row>
    <row r="48" spans="1:36" x14ac:dyDescent="0.3">
      <c r="A48" t="s">
        <v>76</v>
      </c>
      <c r="C48" t="s">
        <v>550</v>
      </c>
      <c r="D48">
        <v>0</v>
      </c>
      <c r="E48">
        <v>0</v>
      </c>
      <c r="H48">
        <v>0</v>
      </c>
      <c r="I48">
        <v>235000</v>
      </c>
      <c r="J48">
        <v>219000</v>
      </c>
      <c r="K48">
        <v>0</v>
      </c>
      <c r="L48">
        <v>219000</v>
      </c>
      <c r="M48">
        <v>75000</v>
      </c>
      <c r="N48">
        <v>144000</v>
      </c>
      <c r="O48">
        <v>122000</v>
      </c>
      <c r="P48">
        <v>522.62</v>
      </c>
      <c r="Q48">
        <v>227.33</v>
      </c>
      <c r="R48">
        <v>30</v>
      </c>
      <c r="S48">
        <v>3.125E-2</v>
      </c>
      <c r="T48">
        <v>0</v>
      </c>
      <c r="U48">
        <v>0</v>
      </c>
      <c r="X48">
        <v>43200</v>
      </c>
      <c r="Y48">
        <v>0</v>
      </c>
      <c r="AA48">
        <v>0</v>
      </c>
      <c r="AB48">
        <v>0</v>
      </c>
      <c r="AC48">
        <v>38.723404255319153</v>
      </c>
      <c r="AE48">
        <v>2</v>
      </c>
      <c r="AF48">
        <v>79</v>
      </c>
      <c r="AI48">
        <v>0</v>
      </c>
      <c r="AJ48">
        <v>0</v>
      </c>
    </row>
    <row r="49" spans="1:36" x14ac:dyDescent="0.3">
      <c r="A49" t="s">
        <v>77</v>
      </c>
      <c r="B49" t="s">
        <v>551</v>
      </c>
      <c r="C49" t="s">
        <v>552</v>
      </c>
      <c r="D49">
        <v>0</v>
      </c>
      <c r="E49">
        <v>0</v>
      </c>
      <c r="H49">
        <v>0</v>
      </c>
      <c r="I49">
        <v>305000</v>
      </c>
      <c r="J49">
        <v>296569</v>
      </c>
      <c r="K49">
        <v>0</v>
      </c>
      <c r="L49">
        <v>296569</v>
      </c>
      <c r="M49">
        <v>69569</v>
      </c>
      <c r="N49">
        <v>227000</v>
      </c>
      <c r="O49">
        <v>197000</v>
      </c>
      <c r="P49">
        <v>1310.6500000000001</v>
      </c>
      <c r="Q49">
        <v>282.42</v>
      </c>
      <c r="R49">
        <v>30</v>
      </c>
      <c r="S49">
        <v>7.0000000000000007E-2</v>
      </c>
      <c r="T49">
        <v>0</v>
      </c>
      <c r="U49">
        <v>0</v>
      </c>
      <c r="X49">
        <v>63092.480000000003</v>
      </c>
      <c r="Y49">
        <v>0</v>
      </c>
      <c r="AA49">
        <v>0</v>
      </c>
      <c r="AB49">
        <v>0</v>
      </c>
      <c r="AC49">
        <v>25.57377049180328</v>
      </c>
      <c r="AE49">
        <v>5</v>
      </c>
      <c r="AF49">
        <v>65</v>
      </c>
      <c r="AI49">
        <v>0</v>
      </c>
      <c r="AJ49">
        <v>0</v>
      </c>
    </row>
    <row r="50" spans="1:36" x14ac:dyDescent="0.3">
      <c r="A50" t="s">
        <v>78</v>
      </c>
      <c r="C50" t="s">
        <v>553</v>
      </c>
      <c r="D50">
        <v>0</v>
      </c>
      <c r="E50">
        <v>0</v>
      </c>
      <c r="H50">
        <v>0</v>
      </c>
      <c r="I50">
        <v>260000</v>
      </c>
      <c r="J50">
        <v>241000</v>
      </c>
      <c r="K50">
        <v>0</v>
      </c>
      <c r="L50">
        <v>241000</v>
      </c>
      <c r="M50">
        <v>97000</v>
      </c>
      <c r="N50">
        <v>144000</v>
      </c>
      <c r="O50">
        <v>100500</v>
      </c>
      <c r="P50">
        <v>437.78</v>
      </c>
      <c r="Q50">
        <v>65.069999999999993</v>
      </c>
      <c r="R50">
        <v>30</v>
      </c>
      <c r="S50">
        <v>3.2500000000000001E-2</v>
      </c>
      <c r="T50">
        <v>0</v>
      </c>
      <c r="U50">
        <v>0</v>
      </c>
      <c r="X50">
        <v>38815</v>
      </c>
      <c r="Y50">
        <v>0</v>
      </c>
      <c r="AA50">
        <v>0</v>
      </c>
      <c r="AB50">
        <v>0</v>
      </c>
      <c r="AC50">
        <v>44.615384615384613</v>
      </c>
      <c r="AE50">
        <v>4</v>
      </c>
      <c r="AF50">
        <v>57</v>
      </c>
      <c r="AI50">
        <v>0</v>
      </c>
      <c r="AJ50">
        <v>0</v>
      </c>
    </row>
    <row r="51" spans="1:36" x14ac:dyDescent="0.3">
      <c r="A51" t="s">
        <v>79</v>
      </c>
      <c r="B51" t="s">
        <v>554</v>
      </c>
      <c r="C51" t="s">
        <v>554</v>
      </c>
      <c r="D51">
        <v>114209.29</v>
      </c>
      <c r="E51">
        <v>30368.23</v>
      </c>
      <c r="G51" t="s">
        <v>543</v>
      </c>
      <c r="H51">
        <v>130000</v>
      </c>
      <c r="I51">
        <v>92000</v>
      </c>
      <c r="J51">
        <v>92000</v>
      </c>
      <c r="K51">
        <v>0</v>
      </c>
      <c r="L51">
        <v>92000</v>
      </c>
      <c r="M51">
        <v>17000</v>
      </c>
      <c r="N51">
        <v>75000</v>
      </c>
      <c r="O51">
        <v>75000</v>
      </c>
      <c r="P51">
        <v>635.82000000000005</v>
      </c>
      <c r="Q51">
        <v>0</v>
      </c>
      <c r="R51">
        <v>25</v>
      </c>
      <c r="S51">
        <v>0</v>
      </c>
      <c r="T51">
        <v>0</v>
      </c>
      <c r="U51">
        <v>0</v>
      </c>
      <c r="X51">
        <v>37111.360000000001</v>
      </c>
      <c r="Y51">
        <v>0</v>
      </c>
      <c r="AA51">
        <v>0</v>
      </c>
      <c r="AB51">
        <v>0</v>
      </c>
      <c r="AC51">
        <v>18.478260869565219</v>
      </c>
      <c r="AE51">
        <v>4</v>
      </c>
      <c r="AF51">
        <v>63</v>
      </c>
      <c r="AI51">
        <v>0</v>
      </c>
      <c r="AJ51">
        <v>0</v>
      </c>
    </row>
    <row r="52" spans="1:36" x14ac:dyDescent="0.3">
      <c r="A52" t="s">
        <v>80</v>
      </c>
      <c r="C52" t="s">
        <v>555</v>
      </c>
      <c r="D52">
        <v>0</v>
      </c>
      <c r="E52">
        <v>0</v>
      </c>
      <c r="H52">
        <v>0</v>
      </c>
      <c r="I52">
        <v>260000</v>
      </c>
      <c r="J52">
        <v>243000</v>
      </c>
      <c r="K52">
        <v>0</v>
      </c>
      <c r="L52">
        <v>243000</v>
      </c>
      <c r="M52">
        <v>99000</v>
      </c>
      <c r="N52">
        <v>144000</v>
      </c>
      <c r="O52">
        <v>135300</v>
      </c>
      <c r="P52">
        <v>588.83000000000004</v>
      </c>
      <c r="Q52">
        <v>236.17</v>
      </c>
      <c r="R52">
        <v>30</v>
      </c>
      <c r="S52">
        <v>3.2500000000000001E-2</v>
      </c>
      <c r="T52">
        <v>0</v>
      </c>
      <c r="U52">
        <v>0</v>
      </c>
      <c r="X52">
        <v>44592</v>
      </c>
      <c r="Y52">
        <v>0</v>
      </c>
      <c r="AA52">
        <v>0</v>
      </c>
      <c r="AB52">
        <v>0</v>
      </c>
      <c r="AC52">
        <v>44.615384615384613</v>
      </c>
      <c r="AE52">
        <v>3</v>
      </c>
      <c r="AF52">
        <v>72.099999999999994</v>
      </c>
      <c r="AI52">
        <v>0</v>
      </c>
      <c r="AJ52">
        <v>0</v>
      </c>
    </row>
    <row r="53" spans="1:36" x14ac:dyDescent="0.3">
      <c r="A53" t="s">
        <v>81</v>
      </c>
      <c r="B53" t="s">
        <v>556</v>
      </c>
      <c r="C53" t="s">
        <v>556</v>
      </c>
      <c r="D53">
        <v>67601.75</v>
      </c>
      <c r="E53">
        <v>70294.73</v>
      </c>
      <c r="G53" t="s">
        <v>543</v>
      </c>
      <c r="H53">
        <v>90000</v>
      </c>
      <c r="I53">
        <v>70000</v>
      </c>
      <c r="J53">
        <v>70000</v>
      </c>
      <c r="K53">
        <v>0</v>
      </c>
      <c r="L53">
        <v>70000</v>
      </c>
      <c r="M53">
        <v>10000</v>
      </c>
      <c r="N53">
        <v>60000</v>
      </c>
      <c r="O53">
        <v>60000</v>
      </c>
      <c r="P53">
        <v>448.06</v>
      </c>
      <c r="Q53">
        <v>0</v>
      </c>
      <c r="R53">
        <v>25</v>
      </c>
      <c r="S53">
        <v>0</v>
      </c>
      <c r="T53">
        <v>0</v>
      </c>
      <c r="U53">
        <v>0</v>
      </c>
      <c r="X53">
        <v>25205</v>
      </c>
      <c r="Y53">
        <v>0</v>
      </c>
      <c r="AA53">
        <v>0</v>
      </c>
      <c r="AB53">
        <v>0</v>
      </c>
      <c r="AC53">
        <v>14.28571428571429</v>
      </c>
      <c r="AE53">
        <v>2</v>
      </c>
      <c r="AF53">
        <v>53</v>
      </c>
      <c r="AI53">
        <v>0</v>
      </c>
      <c r="AJ53">
        <v>0</v>
      </c>
    </row>
    <row r="54" spans="1:36" x14ac:dyDescent="0.3">
      <c r="A54" t="s">
        <v>81</v>
      </c>
      <c r="B54" t="s">
        <v>556</v>
      </c>
      <c r="C54" t="s">
        <v>557</v>
      </c>
      <c r="D54">
        <v>0</v>
      </c>
      <c r="E54">
        <v>0</v>
      </c>
      <c r="H54">
        <v>135000</v>
      </c>
      <c r="I54">
        <v>140000</v>
      </c>
      <c r="J54">
        <v>124000</v>
      </c>
      <c r="K54">
        <v>0</v>
      </c>
      <c r="L54">
        <v>124000</v>
      </c>
      <c r="M54">
        <v>24800</v>
      </c>
      <c r="N54">
        <v>95000</v>
      </c>
      <c r="O54">
        <v>95000</v>
      </c>
      <c r="P54">
        <v>460.42</v>
      </c>
      <c r="Q54">
        <v>111.83</v>
      </c>
      <c r="R54">
        <v>30</v>
      </c>
      <c r="S54">
        <v>4.1250000000000002E-2</v>
      </c>
      <c r="T54">
        <v>0</v>
      </c>
      <c r="U54">
        <v>0</v>
      </c>
      <c r="X54">
        <v>25205</v>
      </c>
      <c r="Y54">
        <v>0</v>
      </c>
      <c r="AA54">
        <v>8.5612999999999992</v>
      </c>
      <c r="AB54">
        <v>0</v>
      </c>
      <c r="AC54">
        <v>32.142857142857139</v>
      </c>
      <c r="AE54">
        <v>2</v>
      </c>
      <c r="AF54">
        <v>53</v>
      </c>
      <c r="AI54">
        <v>0</v>
      </c>
      <c r="AJ54">
        <v>0</v>
      </c>
    </row>
    <row r="55" spans="1:36" x14ac:dyDescent="0.3">
      <c r="A55" t="s">
        <v>82</v>
      </c>
      <c r="B55" t="s">
        <v>558</v>
      </c>
      <c r="C55" t="s">
        <v>559</v>
      </c>
      <c r="D55">
        <v>63021.23</v>
      </c>
      <c r="E55">
        <v>93877.05</v>
      </c>
      <c r="G55" t="s">
        <v>543</v>
      </c>
      <c r="H55">
        <v>99000</v>
      </c>
      <c r="I55">
        <v>115000</v>
      </c>
      <c r="J55">
        <v>87500</v>
      </c>
      <c r="K55">
        <v>0</v>
      </c>
      <c r="L55">
        <v>87500</v>
      </c>
      <c r="M55">
        <v>17500</v>
      </c>
      <c r="N55">
        <v>70000</v>
      </c>
      <c r="O55">
        <v>70000</v>
      </c>
      <c r="P55">
        <v>365.16</v>
      </c>
      <c r="Q55">
        <v>141.84</v>
      </c>
      <c r="R55">
        <v>75</v>
      </c>
      <c r="S55">
        <v>4.7500000000000001E-2</v>
      </c>
      <c r="T55">
        <v>0</v>
      </c>
      <c r="U55">
        <v>0</v>
      </c>
      <c r="X55">
        <v>46077</v>
      </c>
      <c r="Y55">
        <v>0</v>
      </c>
      <c r="AA55">
        <v>0</v>
      </c>
      <c r="AB55">
        <v>0</v>
      </c>
      <c r="AC55">
        <v>39.130434782608688</v>
      </c>
      <c r="AE55">
        <v>4</v>
      </c>
      <c r="AF55">
        <v>77</v>
      </c>
      <c r="AI55">
        <v>0</v>
      </c>
      <c r="AJ55">
        <v>0</v>
      </c>
    </row>
    <row r="56" spans="1:36" x14ac:dyDescent="0.3">
      <c r="A56" t="s">
        <v>82</v>
      </c>
      <c r="B56" t="s">
        <v>558</v>
      </c>
      <c r="C56" t="s">
        <v>560</v>
      </c>
      <c r="D56">
        <v>0</v>
      </c>
      <c r="E56">
        <v>0</v>
      </c>
      <c r="H56">
        <v>136000</v>
      </c>
      <c r="I56">
        <v>165000</v>
      </c>
      <c r="J56">
        <v>130000</v>
      </c>
      <c r="K56">
        <v>0</v>
      </c>
      <c r="L56">
        <v>130000</v>
      </c>
      <c r="M56">
        <v>29000</v>
      </c>
      <c r="N56">
        <v>101000</v>
      </c>
      <c r="O56">
        <v>101000</v>
      </c>
      <c r="P56">
        <v>496.86</v>
      </c>
      <c r="Q56">
        <v>156.22</v>
      </c>
      <c r="R56">
        <v>75</v>
      </c>
      <c r="S56">
        <v>4.2500000000000003E-2</v>
      </c>
      <c r="T56">
        <v>0</v>
      </c>
      <c r="U56">
        <v>0</v>
      </c>
      <c r="X56">
        <v>46077</v>
      </c>
      <c r="Y56">
        <v>0</v>
      </c>
      <c r="AA56">
        <v>6.4805000000000001</v>
      </c>
      <c r="AB56">
        <v>0</v>
      </c>
      <c r="AC56">
        <v>38.787878787878803</v>
      </c>
      <c r="AE56">
        <v>4</v>
      </c>
      <c r="AF56">
        <v>77</v>
      </c>
      <c r="AI56">
        <v>0</v>
      </c>
      <c r="AJ56">
        <v>0</v>
      </c>
    </row>
    <row r="57" spans="1:36" x14ac:dyDescent="0.3">
      <c r="A57" t="s">
        <v>83</v>
      </c>
      <c r="B57" t="s">
        <v>561</v>
      </c>
      <c r="C57" t="s">
        <v>562</v>
      </c>
      <c r="D57">
        <v>66330</v>
      </c>
      <c r="E57">
        <v>90457.3</v>
      </c>
      <c r="G57" t="s">
        <v>543</v>
      </c>
      <c r="H57">
        <v>110000</v>
      </c>
      <c r="I57">
        <v>140000</v>
      </c>
      <c r="J57">
        <v>110000</v>
      </c>
      <c r="K57">
        <v>0</v>
      </c>
      <c r="L57">
        <v>110000</v>
      </c>
      <c r="M57">
        <v>22000</v>
      </c>
      <c r="N57">
        <v>80800</v>
      </c>
      <c r="O57">
        <v>80800</v>
      </c>
      <c r="P57">
        <v>403.43</v>
      </c>
      <c r="Q57">
        <v>134.57</v>
      </c>
      <c r="R57">
        <v>75</v>
      </c>
      <c r="S57">
        <v>4.3749999999999997E-2</v>
      </c>
      <c r="T57">
        <v>0</v>
      </c>
      <c r="U57">
        <v>0</v>
      </c>
      <c r="X57">
        <v>30549.72</v>
      </c>
      <c r="Y57">
        <v>0</v>
      </c>
      <c r="AA57">
        <v>0</v>
      </c>
      <c r="AB57">
        <v>0</v>
      </c>
      <c r="AC57">
        <v>42.285714285714278</v>
      </c>
      <c r="AE57">
        <v>1</v>
      </c>
      <c r="AF57">
        <v>77</v>
      </c>
      <c r="AI57">
        <v>0</v>
      </c>
      <c r="AJ57">
        <v>0</v>
      </c>
    </row>
    <row r="58" spans="1:36" x14ac:dyDescent="0.3">
      <c r="A58" t="s">
        <v>84</v>
      </c>
      <c r="B58" t="s">
        <v>541</v>
      </c>
      <c r="C58" t="s">
        <v>563</v>
      </c>
      <c r="D58">
        <v>53753.91</v>
      </c>
      <c r="E58">
        <v>38037.49</v>
      </c>
      <c r="G58" t="s">
        <v>543</v>
      </c>
      <c r="H58">
        <v>75000</v>
      </c>
      <c r="I58">
        <v>82000</v>
      </c>
      <c r="J58">
        <v>71700</v>
      </c>
      <c r="K58">
        <v>0</v>
      </c>
      <c r="L58">
        <v>71700</v>
      </c>
      <c r="M58">
        <v>14340</v>
      </c>
      <c r="N58">
        <v>57360</v>
      </c>
      <c r="O58">
        <v>57360</v>
      </c>
      <c r="P58">
        <v>401</v>
      </c>
      <c r="Q58">
        <v>0</v>
      </c>
      <c r="R58">
        <v>25</v>
      </c>
      <c r="S58">
        <v>0</v>
      </c>
      <c r="T58">
        <v>0</v>
      </c>
      <c r="U58">
        <v>0</v>
      </c>
      <c r="X58">
        <v>26177</v>
      </c>
      <c r="Y58">
        <v>0</v>
      </c>
      <c r="AA58">
        <v>0</v>
      </c>
      <c r="AB58">
        <v>0</v>
      </c>
      <c r="AC58">
        <v>30.04878048780488</v>
      </c>
      <c r="AE58">
        <v>1</v>
      </c>
      <c r="AF58">
        <v>62</v>
      </c>
      <c r="AI58">
        <v>0</v>
      </c>
      <c r="AJ58">
        <v>0</v>
      </c>
    </row>
    <row r="59" spans="1:36" x14ac:dyDescent="0.3">
      <c r="A59" t="s">
        <v>85</v>
      </c>
      <c r="B59" t="s">
        <v>564</v>
      </c>
      <c r="C59" t="s">
        <v>564</v>
      </c>
      <c r="D59">
        <v>84699.66</v>
      </c>
      <c r="E59">
        <v>40421.51</v>
      </c>
      <c r="G59" t="s">
        <v>543</v>
      </c>
      <c r="H59">
        <v>113000</v>
      </c>
      <c r="I59">
        <v>110000</v>
      </c>
      <c r="J59">
        <v>110000</v>
      </c>
      <c r="K59">
        <v>0</v>
      </c>
      <c r="L59">
        <v>110000</v>
      </c>
      <c r="M59">
        <v>35000</v>
      </c>
      <c r="N59">
        <v>75000</v>
      </c>
      <c r="O59">
        <v>75000</v>
      </c>
      <c r="P59">
        <v>583.80999999999995</v>
      </c>
      <c r="Q59">
        <v>0</v>
      </c>
      <c r="R59">
        <v>25</v>
      </c>
      <c r="S59">
        <v>0</v>
      </c>
      <c r="T59">
        <v>0</v>
      </c>
      <c r="U59">
        <v>0</v>
      </c>
      <c r="X59">
        <v>30123.26</v>
      </c>
      <c r="Y59">
        <v>0</v>
      </c>
      <c r="AA59">
        <v>0</v>
      </c>
      <c r="AB59">
        <v>0</v>
      </c>
      <c r="AC59">
        <v>31.81818181818182</v>
      </c>
      <c r="AE59">
        <v>1</v>
      </c>
      <c r="AF59">
        <v>72</v>
      </c>
      <c r="AI59">
        <v>0</v>
      </c>
      <c r="AJ59">
        <v>0</v>
      </c>
    </row>
    <row r="60" spans="1:36" x14ac:dyDescent="0.3">
      <c r="A60" t="s">
        <v>86</v>
      </c>
      <c r="B60" t="s">
        <v>565</v>
      </c>
      <c r="C60" t="s">
        <v>566</v>
      </c>
      <c r="D60">
        <v>124181.75</v>
      </c>
      <c r="E60">
        <v>34771.49</v>
      </c>
      <c r="G60" t="s">
        <v>543</v>
      </c>
      <c r="H60">
        <v>131000</v>
      </c>
      <c r="I60">
        <v>145000</v>
      </c>
      <c r="J60">
        <v>136000</v>
      </c>
      <c r="K60">
        <v>0</v>
      </c>
      <c r="L60">
        <v>136000</v>
      </c>
      <c r="M60">
        <v>27200</v>
      </c>
      <c r="N60">
        <v>104000</v>
      </c>
      <c r="O60">
        <v>104000</v>
      </c>
      <c r="P60">
        <v>686</v>
      </c>
      <c r="Q60">
        <v>0</v>
      </c>
      <c r="R60">
        <v>25</v>
      </c>
      <c r="S60">
        <v>0</v>
      </c>
      <c r="T60">
        <v>0</v>
      </c>
      <c r="U60">
        <v>0</v>
      </c>
      <c r="X60">
        <v>34907</v>
      </c>
      <c r="Y60">
        <v>0</v>
      </c>
      <c r="AA60">
        <v>0</v>
      </c>
      <c r="AB60">
        <v>0</v>
      </c>
      <c r="AC60">
        <v>28.27586206896552</v>
      </c>
      <c r="AE60">
        <v>1</v>
      </c>
      <c r="AF60">
        <v>75</v>
      </c>
      <c r="AI60">
        <v>0</v>
      </c>
      <c r="AJ60">
        <v>0</v>
      </c>
    </row>
    <row r="61" spans="1:36" x14ac:dyDescent="0.3">
      <c r="A61" t="s">
        <v>87</v>
      </c>
      <c r="B61" t="s">
        <v>567</v>
      </c>
      <c r="C61" t="s">
        <v>568</v>
      </c>
      <c r="D61">
        <v>79007.62</v>
      </c>
      <c r="E61">
        <v>52854.289999999994</v>
      </c>
      <c r="G61" t="s">
        <v>543</v>
      </c>
      <c r="H61">
        <v>99000</v>
      </c>
      <c r="I61">
        <v>110000</v>
      </c>
      <c r="J61">
        <v>101000</v>
      </c>
      <c r="K61">
        <v>0</v>
      </c>
      <c r="L61">
        <v>101000</v>
      </c>
      <c r="M61">
        <v>20200</v>
      </c>
      <c r="N61">
        <v>80800</v>
      </c>
      <c r="O61">
        <v>80800</v>
      </c>
      <c r="P61">
        <v>537</v>
      </c>
      <c r="Q61">
        <v>0</v>
      </c>
      <c r="R61">
        <v>25</v>
      </c>
      <c r="S61">
        <v>0</v>
      </c>
      <c r="T61">
        <v>0</v>
      </c>
      <c r="U61">
        <v>0</v>
      </c>
      <c r="X61">
        <v>36296</v>
      </c>
      <c r="Y61">
        <v>0</v>
      </c>
      <c r="AA61">
        <v>0</v>
      </c>
      <c r="AB61">
        <v>0</v>
      </c>
      <c r="AC61">
        <v>26.54545454545455</v>
      </c>
      <c r="AE61">
        <v>3</v>
      </c>
      <c r="AF61">
        <v>68</v>
      </c>
      <c r="AI61">
        <v>0</v>
      </c>
      <c r="AJ61">
        <v>0</v>
      </c>
    </row>
    <row r="62" spans="1:36" x14ac:dyDescent="0.3">
      <c r="A62" t="s">
        <v>88</v>
      </c>
      <c r="B62" t="s">
        <v>569</v>
      </c>
      <c r="C62" t="s">
        <v>569</v>
      </c>
      <c r="D62">
        <v>137883.71</v>
      </c>
      <c r="E62">
        <v>30986.65</v>
      </c>
      <c r="G62" t="s">
        <v>543</v>
      </c>
      <c r="H62">
        <v>100000</v>
      </c>
      <c r="I62">
        <v>84000</v>
      </c>
      <c r="J62">
        <v>76500</v>
      </c>
      <c r="K62">
        <v>0</v>
      </c>
      <c r="L62">
        <v>76500</v>
      </c>
      <c r="M62">
        <v>11500</v>
      </c>
      <c r="N62">
        <v>65000</v>
      </c>
      <c r="O62">
        <v>65000</v>
      </c>
      <c r="P62">
        <v>518.25</v>
      </c>
      <c r="Q62">
        <v>0</v>
      </c>
      <c r="R62">
        <v>25</v>
      </c>
      <c r="S62">
        <v>0</v>
      </c>
      <c r="T62">
        <v>0</v>
      </c>
      <c r="U62">
        <v>0</v>
      </c>
      <c r="X62">
        <v>27149.279999999999</v>
      </c>
      <c r="Y62">
        <v>0</v>
      </c>
      <c r="AA62">
        <v>0</v>
      </c>
      <c r="AB62">
        <v>0</v>
      </c>
      <c r="AC62">
        <v>22.61904761904762</v>
      </c>
      <c r="AE62">
        <v>3</v>
      </c>
      <c r="AF62">
        <v>51</v>
      </c>
      <c r="AI62">
        <v>0</v>
      </c>
      <c r="AJ62">
        <v>0</v>
      </c>
    </row>
    <row r="63" spans="1:36" x14ac:dyDescent="0.3">
      <c r="A63" t="s">
        <v>89</v>
      </c>
      <c r="B63" t="s">
        <v>570</v>
      </c>
      <c r="C63" t="s">
        <v>570</v>
      </c>
      <c r="D63">
        <v>91500</v>
      </c>
      <c r="E63">
        <v>40398.57</v>
      </c>
      <c r="G63" t="s">
        <v>543</v>
      </c>
      <c r="H63">
        <v>96000</v>
      </c>
      <c r="I63">
        <v>99000</v>
      </c>
      <c r="J63">
        <v>90000</v>
      </c>
      <c r="K63">
        <v>0</v>
      </c>
      <c r="L63">
        <v>90000</v>
      </c>
      <c r="M63">
        <v>18000</v>
      </c>
      <c r="N63">
        <v>72000</v>
      </c>
      <c r="O63">
        <v>72000</v>
      </c>
      <c r="P63">
        <v>504.13</v>
      </c>
      <c r="Q63">
        <v>0</v>
      </c>
      <c r="R63">
        <v>25</v>
      </c>
      <c r="S63">
        <v>0</v>
      </c>
      <c r="T63">
        <v>0</v>
      </c>
      <c r="U63">
        <v>0</v>
      </c>
      <c r="X63">
        <v>47352</v>
      </c>
      <c r="Y63">
        <v>0</v>
      </c>
      <c r="AA63">
        <v>0</v>
      </c>
      <c r="AB63">
        <v>0</v>
      </c>
      <c r="AC63">
        <v>27.27272727272727</v>
      </c>
      <c r="AE63">
        <v>5</v>
      </c>
      <c r="AF63">
        <v>73</v>
      </c>
      <c r="AI63">
        <v>0</v>
      </c>
      <c r="AJ63">
        <v>0</v>
      </c>
    </row>
    <row r="64" spans="1:36" x14ac:dyDescent="0.3">
      <c r="A64" t="s">
        <v>90</v>
      </c>
      <c r="B64" t="s">
        <v>571</v>
      </c>
      <c r="C64" t="s">
        <v>572</v>
      </c>
      <c r="D64">
        <v>96030</v>
      </c>
      <c r="E64">
        <v>102406.11</v>
      </c>
      <c r="G64" t="s">
        <v>543</v>
      </c>
      <c r="H64">
        <v>108000</v>
      </c>
      <c r="I64">
        <v>139000</v>
      </c>
      <c r="J64">
        <v>108000</v>
      </c>
      <c r="K64">
        <v>0</v>
      </c>
      <c r="L64">
        <v>108000</v>
      </c>
      <c r="M64">
        <v>21600</v>
      </c>
      <c r="N64">
        <v>86400</v>
      </c>
      <c r="O64">
        <v>86400</v>
      </c>
      <c r="P64">
        <v>425.04</v>
      </c>
      <c r="Q64">
        <v>144.62</v>
      </c>
      <c r="R64">
        <v>75</v>
      </c>
      <c r="S64">
        <v>4.2500000000000003E-2</v>
      </c>
      <c r="T64">
        <v>0</v>
      </c>
      <c r="U64">
        <v>0</v>
      </c>
      <c r="X64">
        <v>31494.93</v>
      </c>
      <c r="Y64">
        <v>0</v>
      </c>
      <c r="AA64">
        <v>0</v>
      </c>
      <c r="AB64">
        <v>0</v>
      </c>
      <c r="AC64">
        <v>37.841726618705039</v>
      </c>
      <c r="AE64">
        <v>1</v>
      </c>
      <c r="AF64">
        <v>76</v>
      </c>
      <c r="AI64">
        <v>0</v>
      </c>
      <c r="AJ64">
        <v>0</v>
      </c>
    </row>
    <row r="65" spans="1:36" x14ac:dyDescent="0.3">
      <c r="A65" t="s">
        <v>91</v>
      </c>
      <c r="B65" t="s">
        <v>573</v>
      </c>
      <c r="C65" t="s">
        <v>573</v>
      </c>
      <c r="D65">
        <v>93162.92</v>
      </c>
      <c r="E65">
        <v>20919</v>
      </c>
      <c r="G65" t="s">
        <v>543</v>
      </c>
      <c r="H65">
        <v>85000</v>
      </c>
      <c r="I65">
        <v>98000</v>
      </c>
      <c r="J65">
        <v>98000</v>
      </c>
      <c r="K65">
        <v>0</v>
      </c>
      <c r="L65">
        <v>98000</v>
      </c>
      <c r="M65">
        <v>36000</v>
      </c>
      <c r="N65">
        <v>62000</v>
      </c>
      <c r="O65">
        <v>62000</v>
      </c>
      <c r="P65">
        <v>512.91</v>
      </c>
      <c r="Q65">
        <v>0</v>
      </c>
      <c r="R65">
        <v>25</v>
      </c>
      <c r="S65">
        <v>0</v>
      </c>
      <c r="T65">
        <v>0</v>
      </c>
      <c r="U65">
        <v>0</v>
      </c>
      <c r="X65">
        <v>31720</v>
      </c>
      <c r="Y65">
        <v>0</v>
      </c>
      <c r="AA65">
        <v>0</v>
      </c>
      <c r="AB65">
        <v>0</v>
      </c>
      <c r="AC65">
        <v>36.734693877551017</v>
      </c>
      <c r="AE65">
        <v>1</v>
      </c>
      <c r="AF65">
        <v>76</v>
      </c>
      <c r="AI65">
        <v>0</v>
      </c>
      <c r="AJ65">
        <v>0</v>
      </c>
    </row>
    <row r="66" spans="1:36" x14ac:dyDescent="0.3">
      <c r="A66" t="s">
        <v>92</v>
      </c>
      <c r="B66" t="s">
        <v>574</v>
      </c>
      <c r="C66" t="s">
        <v>575</v>
      </c>
      <c r="D66">
        <v>59457</v>
      </c>
      <c r="E66">
        <v>26225.01</v>
      </c>
      <c r="G66" t="s">
        <v>543</v>
      </c>
      <c r="H66">
        <v>73000</v>
      </c>
      <c r="I66">
        <v>82017</v>
      </c>
      <c r="J66">
        <v>73000</v>
      </c>
      <c r="K66">
        <v>0</v>
      </c>
      <c r="L66">
        <v>73000</v>
      </c>
      <c r="M66">
        <v>14600</v>
      </c>
      <c r="N66">
        <v>58400</v>
      </c>
      <c r="O66">
        <v>58400</v>
      </c>
      <c r="P66">
        <v>300.26</v>
      </c>
      <c r="Q66">
        <v>172.25</v>
      </c>
      <c r="R66">
        <v>25</v>
      </c>
      <c r="S66">
        <v>4.6249999999999999E-2</v>
      </c>
      <c r="T66">
        <v>0</v>
      </c>
      <c r="U66">
        <v>0</v>
      </c>
      <c r="X66">
        <v>31139</v>
      </c>
      <c r="Y66">
        <v>0</v>
      </c>
      <c r="AA66">
        <v>0</v>
      </c>
      <c r="AB66">
        <v>0</v>
      </c>
      <c r="AC66">
        <v>28.79524976529256</v>
      </c>
      <c r="AE66">
        <v>1</v>
      </c>
      <c r="AF66">
        <v>74</v>
      </c>
      <c r="AI66">
        <v>0</v>
      </c>
      <c r="AJ66">
        <v>0</v>
      </c>
    </row>
    <row r="67" spans="1:36" x14ac:dyDescent="0.3">
      <c r="A67" t="s">
        <v>93</v>
      </c>
      <c r="B67" t="s">
        <v>576</v>
      </c>
      <c r="C67" t="s">
        <v>577</v>
      </c>
      <c r="D67">
        <v>69700</v>
      </c>
      <c r="E67">
        <v>85810.459999999992</v>
      </c>
      <c r="G67" t="s">
        <v>543</v>
      </c>
      <c r="H67">
        <v>100000</v>
      </c>
      <c r="I67">
        <v>129000</v>
      </c>
      <c r="J67">
        <v>102000</v>
      </c>
      <c r="K67">
        <v>0</v>
      </c>
      <c r="L67">
        <v>102000</v>
      </c>
      <c r="M67">
        <v>20400</v>
      </c>
      <c r="N67">
        <v>81600</v>
      </c>
      <c r="O67">
        <v>81600</v>
      </c>
      <c r="P67">
        <v>401.43</v>
      </c>
      <c r="Q67">
        <v>132.57</v>
      </c>
      <c r="R67">
        <v>75</v>
      </c>
      <c r="S67">
        <v>4.2500000000000003E-2</v>
      </c>
      <c r="T67">
        <v>0</v>
      </c>
      <c r="U67">
        <v>0</v>
      </c>
      <c r="X67">
        <v>28271.42</v>
      </c>
      <c r="Y67">
        <v>0</v>
      </c>
      <c r="AA67">
        <v>0</v>
      </c>
      <c r="AB67">
        <v>0</v>
      </c>
      <c r="AC67">
        <v>36.744186046511629</v>
      </c>
      <c r="AE67">
        <v>1</v>
      </c>
      <c r="AF67">
        <v>67</v>
      </c>
      <c r="AI67">
        <v>0</v>
      </c>
      <c r="AJ67">
        <v>0</v>
      </c>
    </row>
    <row r="68" spans="1:36" x14ac:dyDescent="0.3">
      <c r="A68" t="s">
        <v>94</v>
      </c>
      <c r="B68" t="s">
        <v>578</v>
      </c>
      <c r="C68" t="s">
        <v>579</v>
      </c>
      <c r="D68">
        <v>62999</v>
      </c>
      <c r="E68">
        <v>50963.25</v>
      </c>
      <c r="G68" t="s">
        <v>543</v>
      </c>
      <c r="H68">
        <v>85000</v>
      </c>
      <c r="I68">
        <v>108000</v>
      </c>
      <c r="J68">
        <v>97400</v>
      </c>
      <c r="K68">
        <v>0</v>
      </c>
      <c r="L68">
        <v>97400</v>
      </c>
      <c r="M68">
        <v>0</v>
      </c>
      <c r="N68">
        <v>77920</v>
      </c>
      <c r="O68">
        <v>77920</v>
      </c>
      <c r="P68">
        <v>519</v>
      </c>
      <c r="Q68">
        <v>0</v>
      </c>
      <c r="R68">
        <v>25</v>
      </c>
      <c r="S68">
        <v>0</v>
      </c>
      <c r="T68">
        <v>0</v>
      </c>
      <c r="U68">
        <v>0</v>
      </c>
      <c r="X68">
        <v>29200</v>
      </c>
      <c r="Y68">
        <v>0</v>
      </c>
      <c r="AA68">
        <v>0</v>
      </c>
      <c r="AB68">
        <v>0</v>
      </c>
      <c r="AC68">
        <v>27.851851851851851</v>
      </c>
      <c r="AE68">
        <v>2</v>
      </c>
      <c r="AF68">
        <v>60</v>
      </c>
      <c r="AI68">
        <v>0</v>
      </c>
      <c r="AJ68">
        <v>0</v>
      </c>
    </row>
    <row r="69" spans="1:36" x14ac:dyDescent="0.3">
      <c r="A69" t="s">
        <v>95</v>
      </c>
      <c r="B69" t="s">
        <v>580</v>
      </c>
      <c r="C69" t="s">
        <v>581</v>
      </c>
      <c r="D69">
        <v>100084.39</v>
      </c>
      <c r="E69">
        <v>50414.2</v>
      </c>
      <c r="G69" t="s">
        <v>543</v>
      </c>
      <c r="H69">
        <v>90000</v>
      </c>
      <c r="I69">
        <v>125000</v>
      </c>
      <c r="J69">
        <v>98000</v>
      </c>
      <c r="K69">
        <v>0</v>
      </c>
      <c r="L69">
        <v>98000</v>
      </c>
      <c r="M69">
        <v>19600</v>
      </c>
      <c r="N69">
        <v>78400</v>
      </c>
      <c r="O69">
        <v>78400</v>
      </c>
      <c r="P69">
        <v>432.93</v>
      </c>
      <c r="Q69">
        <v>150.07</v>
      </c>
      <c r="R69">
        <v>75</v>
      </c>
      <c r="S69">
        <v>5.2499999999999998E-2</v>
      </c>
      <c r="T69">
        <v>0</v>
      </c>
      <c r="U69">
        <v>0</v>
      </c>
      <c r="X69">
        <v>23678.880000000001</v>
      </c>
      <c r="Y69">
        <v>0</v>
      </c>
      <c r="AA69">
        <v>0</v>
      </c>
      <c r="AB69">
        <v>0</v>
      </c>
      <c r="AC69">
        <v>37.28</v>
      </c>
      <c r="AE69">
        <v>1</v>
      </c>
      <c r="AF69">
        <v>56</v>
      </c>
      <c r="AI69">
        <v>0</v>
      </c>
      <c r="AJ69">
        <v>0</v>
      </c>
    </row>
    <row r="70" spans="1:36" x14ac:dyDescent="0.3">
      <c r="A70" t="s">
        <v>95</v>
      </c>
      <c r="B70" t="s">
        <v>580</v>
      </c>
      <c r="C70" t="s">
        <v>582</v>
      </c>
      <c r="D70">
        <v>0</v>
      </c>
      <c r="E70">
        <v>0</v>
      </c>
      <c r="H70">
        <v>125000</v>
      </c>
      <c r="I70">
        <v>188000</v>
      </c>
      <c r="J70">
        <v>148000</v>
      </c>
      <c r="K70">
        <v>0</v>
      </c>
      <c r="L70">
        <v>148000</v>
      </c>
      <c r="M70">
        <v>48000</v>
      </c>
      <c r="N70">
        <v>82500</v>
      </c>
      <c r="O70">
        <v>82500</v>
      </c>
      <c r="P70">
        <v>399.84</v>
      </c>
      <c r="Q70">
        <v>147.22999999999999</v>
      </c>
      <c r="R70">
        <v>75</v>
      </c>
      <c r="S70">
        <v>4.1250000000000002E-2</v>
      </c>
      <c r="T70">
        <v>0</v>
      </c>
      <c r="U70">
        <v>0</v>
      </c>
      <c r="X70">
        <v>23678.880000000001</v>
      </c>
      <c r="Y70">
        <v>0</v>
      </c>
      <c r="AA70">
        <v>7.0663999999999998</v>
      </c>
      <c r="AB70">
        <v>0</v>
      </c>
      <c r="AC70">
        <v>56.11702127659575</v>
      </c>
      <c r="AE70">
        <v>1</v>
      </c>
      <c r="AF70">
        <v>56</v>
      </c>
      <c r="AI70">
        <v>0</v>
      </c>
      <c r="AJ70">
        <v>0</v>
      </c>
    </row>
    <row r="71" spans="1:36" x14ac:dyDescent="0.3">
      <c r="A71" t="s">
        <v>96</v>
      </c>
      <c r="B71" t="s">
        <v>583</v>
      </c>
      <c r="C71" t="s">
        <v>584</v>
      </c>
      <c r="D71">
        <v>91000</v>
      </c>
      <c r="E71">
        <v>62720.67</v>
      </c>
      <c r="G71" t="s">
        <v>543</v>
      </c>
      <c r="H71">
        <v>106000</v>
      </c>
      <c r="I71">
        <v>134000</v>
      </c>
      <c r="J71">
        <v>99500</v>
      </c>
      <c r="K71">
        <v>0</v>
      </c>
      <c r="L71">
        <v>99500</v>
      </c>
      <c r="M71">
        <v>19900</v>
      </c>
      <c r="N71">
        <v>79600</v>
      </c>
      <c r="O71">
        <v>79600</v>
      </c>
      <c r="P71">
        <v>368.64</v>
      </c>
      <c r="Q71">
        <v>0</v>
      </c>
      <c r="R71">
        <v>75</v>
      </c>
      <c r="S71">
        <v>3.7499999999999999E-2</v>
      </c>
      <c r="T71">
        <v>0</v>
      </c>
      <c r="U71">
        <v>0</v>
      </c>
      <c r="X71">
        <v>28028</v>
      </c>
      <c r="Y71">
        <v>0</v>
      </c>
      <c r="AA71">
        <v>0</v>
      </c>
      <c r="AB71">
        <v>0</v>
      </c>
      <c r="AC71">
        <v>40.597014925373131</v>
      </c>
      <c r="AE71">
        <v>4</v>
      </c>
      <c r="AF71">
        <v>48</v>
      </c>
      <c r="AI71">
        <v>0</v>
      </c>
      <c r="AJ71">
        <v>0</v>
      </c>
    </row>
    <row r="72" spans="1:36" x14ac:dyDescent="0.3">
      <c r="A72" t="s">
        <v>97</v>
      </c>
      <c r="B72" t="s">
        <v>585</v>
      </c>
      <c r="C72" t="s">
        <v>586</v>
      </c>
      <c r="D72">
        <v>80000</v>
      </c>
      <c r="E72">
        <v>93517.48000000001</v>
      </c>
      <c r="G72" t="s">
        <v>543</v>
      </c>
      <c r="H72">
        <v>100000</v>
      </c>
      <c r="I72">
        <v>127000</v>
      </c>
      <c r="J72">
        <v>100000</v>
      </c>
      <c r="K72">
        <v>0</v>
      </c>
      <c r="L72">
        <v>100000</v>
      </c>
      <c r="M72">
        <v>20000</v>
      </c>
      <c r="N72">
        <v>80000</v>
      </c>
      <c r="O72">
        <v>80000</v>
      </c>
      <c r="P72">
        <v>429.46</v>
      </c>
      <c r="Q72">
        <v>139.54</v>
      </c>
      <c r="R72">
        <v>75</v>
      </c>
      <c r="S72">
        <v>0.05</v>
      </c>
      <c r="T72">
        <v>0</v>
      </c>
      <c r="U72">
        <v>0</v>
      </c>
      <c r="X72">
        <v>37467</v>
      </c>
      <c r="Y72">
        <v>0</v>
      </c>
      <c r="AA72">
        <v>0</v>
      </c>
      <c r="AB72">
        <v>0</v>
      </c>
      <c r="AC72">
        <v>37.00787401574803</v>
      </c>
      <c r="AE72">
        <v>3</v>
      </c>
      <c r="AF72">
        <v>69</v>
      </c>
      <c r="AI72">
        <v>0</v>
      </c>
      <c r="AJ72">
        <v>0</v>
      </c>
    </row>
    <row r="73" spans="1:36" x14ac:dyDescent="0.3">
      <c r="A73" t="s">
        <v>98</v>
      </c>
      <c r="B73" t="s">
        <v>587</v>
      </c>
      <c r="C73" t="s">
        <v>588</v>
      </c>
      <c r="D73">
        <v>111870</v>
      </c>
      <c r="E73">
        <v>90039.87</v>
      </c>
      <c r="G73" t="s">
        <v>543</v>
      </c>
      <c r="H73">
        <v>125000</v>
      </c>
      <c r="I73">
        <v>152000</v>
      </c>
      <c r="J73">
        <v>126000</v>
      </c>
      <c r="K73">
        <v>0</v>
      </c>
      <c r="L73">
        <v>126000</v>
      </c>
      <c r="M73">
        <v>25200</v>
      </c>
      <c r="N73">
        <v>100800</v>
      </c>
      <c r="O73">
        <v>100800</v>
      </c>
      <c r="P73">
        <v>572.34</v>
      </c>
      <c r="Q73">
        <v>157.26</v>
      </c>
      <c r="R73">
        <v>75</v>
      </c>
      <c r="S73">
        <v>5.5E-2</v>
      </c>
      <c r="T73">
        <v>0</v>
      </c>
      <c r="U73">
        <v>0</v>
      </c>
      <c r="X73">
        <v>53797.5</v>
      </c>
      <c r="Y73">
        <v>0</v>
      </c>
      <c r="AA73">
        <v>0</v>
      </c>
      <c r="AB73">
        <v>0</v>
      </c>
      <c r="AC73">
        <v>33.684210526315788</v>
      </c>
      <c r="AE73">
        <v>7</v>
      </c>
      <c r="AF73">
        <v>73.5</v>
      </c>
      <c r="AI73">
        <v>0</v>
      </c>
      <c r="AJ73">
        <v>0</v>
      </c>
    </row>
    <row r="74" spans="1:36" x14ac:dyDescent="0.3">
      <c r="A74" t="s">
        <v>99</v>
      </c>
      <c r="B74" t="s">
        <v>589</v>
      </c>
      <c r="C74" t="s">
        <v>590</v>
      </c>
      <c r="D74">
        <v>74900</v>
      </c>
      <c r="E74">
        <v>50175.38</v>
      </c>
      <c r="G74" t="s">
        <v>543</v>
      </c>
      <c r="H74">
        <v>110000</v>
      </c>
      <c r="I74">
        <v>113000</v>
      </c>
      <c r="J74">
        <v>103500</v>
      </c>
      <c r="K74">
        <v>0</v>
      </c>
      <c r="L74">
        <v>103500</v>
      </c>
      <c r="M74">
        <v>20700</v>
      </c>
      <c r="N74">
        <v>82800</v>
      </c>
      <c r="O74">
        <v>82800</v>
      </c>
      <c r="P74">
        <v>596.42999999999995</v>
      </c>
      <c r="Q74">
        <v>0</v>
      </c>
      <c r="R74">
        <v>25</v>
      </c>
      <c r="S74">
        <v>0</v>
      </c>
      <c r="T74">
        <v>0</v>
      </c>
      <c r="U74">
        <v>0</v>
      </c>
      <c r="X74">
        <v>52200</v>
      </c>
      <c r="Y74">
        <v>0</v>
      </c>
      <c r="AA74">
        <v>0</v>
      </c>
      <c r="AB74">
        <v>0</v>
      </c>
      <c r="AC74">
        <v>26.725663716814161</v>
      </c>
      <c r="AE74">
        <v>5</v>
      </c>
      <c r="AF74">
        <v>77</v>
      </c>
      <c r="AI74">
        <v>0</v>
      </c>
      <c r="AJ74">
        <v>0</v>
      </c>
    </row>
    <row r="75" spans="1:36" x14ac:dyDescent="0.3">
      <c r="A75" t="s">
        <v>100</v>
      </c>
      <c r="B75" t="s">
        <v>591</v>
      </c>
      <c r="C75" t="s">
        <v>592</v>
      </c>
      <c r="D75">
        <v>64000</v>
      </c>
      <c r="E75">
        <v>94760.26</v>
      </c>
      <c r="G75" t="s">
        <v>543</v>
      </c>
      <c r="H75">
        <v>85000</v>
      </c>
      <c r="I75">
        <v>112000</v>
      </c>
      <c r="J75">
        <v>88000</v>
      </c>
      <c r="K75">
        <v>0</v>
      </c>
      <c r="L75">
        <v>88000</v>
      </c>
      <c r="M75">
        <v>17600</v>
      </c>
      <c r="N75">
        <v>70400</v>
      </c>
      <c r="O75">
        <v>70400</v>
      </c>
      <c r="P75">
        <v>346.33</v>
      </c>
      <c r="Q75">
        <v>146.66999999999999</v>
      </c>
      <c r="R75">
        <v>75</v>
      </c>
      <c r="S75">
        <v>4.2500000000000003E-2</v>
      </c>
      <c r="T75">
        <v>0</v>
      </c>
      <c r="U75">
        <v>0</v>
      </c>
      <c r="X75">
        <v>38119.53</v>
      </c>
      <c r="Y75">
        <v>0</v>
      </c>
      <c r="AA75">
        <v>0</v>
      </c>
      <c r="AB75">
        <v>0</v>
      </c>
      <c r="AC75">
        <v>37.142857142857153</v>
      </c>
      <c r="AE75">
        <v>2</v>
      </c>
      <c r="AF75">
        <v>79</v>
      </c>
      <c r="AI75">
        <v>0</v>
      </c>
      <c r="AJ75">
        <v>0</v>
      </c>
    </row>
    <row r="76" spans="1:36" x14ac:dyDescent="0.3">
      <c r="A76" t="s">
        <v>101</v>
      </c>
      <c r="B76" t="s">
        <v>593</v>
      </c>
      <c r="C76" t="s">
        <v>593</v>
      </c>
      <c r="D76">
        <v>81237.75</v>
      </c>
      <c r="E76">
        <v>6919.32</v>
      </c>
      <c r="G76" t="s">
        <v>543</v>
      </c>
      <c r="H76">
        <v>63000</v>
      </c>
      <c r="I76">
        <v>63000</v>
      </c>
      <c r="J76">
        <v>53000</v>
      </c>
      <c r="K76">
        <v>0</v>
      </c>
      <c r="L76">
        <v>53000</v>
      </c>
      <c r="M76">
        <v>10600</v>
      </c>
      <c r="N76">
        <v>42400</v>
      </c>
      <c r="O76">
        <v>42400</v>
      </c>
      <c r="P76">
        <v>357.66</v>
      </c>
      <c r="Q76">
        <v>0</v>
      </c>
      <c r="R76">
        <v>25</v>
      </c>
      <c r="S76">
        <v>0</v>
      </c>
      <c r="T76">
        <v>0</v>
      </c>
      <c r="U76">
        <v>0</v>
      </c>
      <c r="X76">
        <v>22305.57</v>
      </c>
      <c r="Y76">
        <v>0</v>
      </c>
      <c r="AA76">
        <v>0</v>
      </c>
      <c r="AB76">
        <v>0</v>
      </c>
      <c r="AC76">
        <v>32.698412698412703</v>
      </c>
      <c r="AE76">
        <v>1</v>
      </c>
      <c r="AF76">
        <v>53</v>
      </c>
      <c r="AI76">
        <v>0</v>
      </c>
      <c r="AJ76">
        <v>0</v>
      </c>
    </row>
    <row r="77" spans="1:36" x14ac:dyDescent="0.3">
      <c r="A77" t="s">
        <v>101</v>
      </c>
      <c r="B77" t="s">
        <v>593</v>
      </c>
      <c r="C77" t="s">
        <v>594</v>
      </c>
      <c r="D77">
        <v>0</v>
      </c>
      <c r="E77">
        <v>0</v>
      </c>
      <c r="H77">
        <v>127000</v>
      </c>
      <c r="I77">
        <v>141000</v>
      </c>
      <c r="J77">
        <v>127000</v>
      </c>
      <c r="K77">
        <v>0</v>
      </c>
      <c r="L77">
        <v>127000</v>
      </c>
      <c r="M77">
        <v>41000</v>
      </c>
      <c r="N77">
        <v>86000</v>
      </c>
      <c r="O77">
        <v>0</v>
      </c>
      <c r="P77">
        <v>351</v>
      </c>
      <c r="Q77">
        <v>112</v>
      </c>
      <c r="R77">
        <v>30</v>
      </c>
      <c r="S77">
        <v>4.3749999999999997E-2</v>
      </c>
      <c r="T77">
        <v>0</v>
      </c>
      <c r="U77">
        <v>0</v>
      </c>
      <c r="X77">
        <v>22305.57</v>
      </c>
      <c r="Y77">
        <v>0</v>
      </c>
      <c r="AA77">
        <v>7.4333</v>
      </c>
      <c r="AB77">
        <v>0</v>
      </c>
      <c r="AC77">
        <v>39.00709219858156</v>
      </c>
      <c r="AE77">
        <v>1</v>
      </c>
      <c r="AF77">
        <v>53</v>
      </c>
      <c r="AI77">
        <v>0</v>
      </c>
      <c r="AJ77">
        <v>0</v>
      </c>
    </row>
    <row r="78" spans="1:36" x14ac:dyDescent="0.3">
      <c r="A78" t="s">
        <v>102</v>
      </c>
      <c r="B78" t="s">
        <v>595</v>
      </c>
      <c r="C78" t="s">
        <v>596</v>
      </c>
      <c r="D78">
        <v>103939.83</v>
      </c>
      <c r="E78">
        <v>52634.52</v>
      </c>
      <c r="G78" t="s">
        <v>543</v>
      </c>
      <c r="H78">
        <v>148000</v>
      </c>
      <c r="I78">
        <v>160000</v>
      </c>
      <c r="J78">
        <v>149500</v>
      </c>
      <c r="K78">
        <v>0</v>
      </c>
      <c r="L78">
        <v>149500</v>
      </c>
      <c r="M78">
        <v>29900</v>
      </c>
      <c r="N78">
        <v>119600</v>
      </c>
      <c r="O78">
        <v>119600</v>
      </c>
      <c r="P78">
        <v>756</v>
      </c>
      <c r="Q78">
        <v>0</v>
      </c>
      <c r="R78">
        <v>25</v>
      </c>
      <c r="S78">
        <v>0</v>
      </c>
      <c r="T78">
        <v>0</v>
      </c>
      <c r="U78">
        <v>0</v>
      </c>
      <c r="X78">
        <v>38531.379999999997</v>
      </c>
      <c r="Y78">
        <v>0</v>
      </c>
      <c r="AA78">
        <v>0</v>
      </c>
      <c r="AB78">
        <v>0</v>
      </c>
      <c r="AC78">
        <v>25.249999999999989</v>
      </c>
      <c r="AE78">
        <v>2</v>
      </c>
      <c r="AF78">
        <v>80</v>
      </c>
      <c r="AI78">
        <v>0</v>
      </c>
      <c r="AJ78">
        <v>0</v>
      </c>
    </row>
    <row r="79" spans="1:36" x14ac:dyDescent="0.3">
      <c r="A79" t="s">
        <v>103</v>
      </c>
      <c r="B79" t="s">
        <v>597</v>
      </c>
      <c r="C79" t="s">
        <v>598</v>
      </c>
      <c r="D79">
        <v>114915.03</v>
      </c>
      <c r="E79">
        <v>40133.199999999997</v>
      </c>
      <c r="G79" t="s">
        <v>543</v>
      </c>
      <c r="H79">
        <v>114000</v>
      </c>
      <c r="I79">
        <v>144000</v>
      </c>
      <c r="J79">
        <v>116500</v>
      </c>
      <c r="K79">
        <v>0</v>
      </c>
      <c r="L79">
        <v>116500</v>
      </c>
      <c r="M79">
        <v>0</v>
      </c>
      <c r="N79">
        <v>93200</v>
      </c>
      <c r="O79">
        <v>93200</v>
      </c>
      <c r="P79">
        <v>630</v>
      </c>
      <c r="Q79">
        <v>0</v>
      </c>
      <c r="R79">
        <v>75</v>
      </c>
      <c r="S79">
        <v>0</v>
      </c>
      <c r="T79">
        <v>0</v>
      </c>
      <c r="U79">
        <v>0</v>
      </c>
      <c r="X79">
        <v>37960</v>
      </c>
      <c r="Y79">
        <v>0</v>
      </c>
      <c r="AA79">
        <v>0</v>
      </c>
      <c r="AB79">
        <v>0</v>
      </c>
      <c r="AC79">
        <v>35.277777777777771</v>
      </c>
      <c r="AE79">
        <v>4</v>
      </c>
      <c r="AF79">
        <v>63</v>
      </c>
      <c r="AI79">
        <v>0</v>
      </c>
      <c r="AJ79">
        <v>0</v>
      </c>
    </row>
    <row r="80" spans="1:36" x14ac:dyDescent="0.3">
      <c r="A80" t="s">
        <v>104</v>
      </c>
      <c r="B80" t="s">
        <v>599</v>
      </c>
      <c r="C80" t="s">
        <v>599</v>
      </c>
      <c r="D80">
        <v>101195.97</v>
      </c>
      <c r="E80">
        <v>28120.99</v>
      </c>
      <c r="G80" t="s">
        <v>543</v>
      </c>
      <c r="H80">
        <v>110000</v>
      </c>
      <c r="I80">
        <v>94000</v>
      </c>
      <c r="J80">
        <v>94000</v>
      </c>
      <c r="K80">
        <v>0</v>
      </c>
      <c r="L80">
        <v>94000</v>
      </c>
      <c r="M80">
        <v>34000</v>
      </c>
      <c r="N80">
        <v>60000</v>
      </c>
      <c r="O80">
        <v>60000</v>
      </c>
      <c r="P80">
        <v>488.69</v>
      </c>
      <c r="Q80">
        <v>0</v>
      </c>
      <c r="R80">
        <v>25</v>
      </c>
      <c r="S80">
        <v>0</v>
      </c>
      <c r="T80">
        <v>0</v>
      </c>
      <c r="U80">
        <v>0</v>
      </c>
      <c r="X80">
        <v>35370</v>
      </c>
      <c r="Y80">
        <v>0</v>
      </c>
      <c r="AA80">
        <v>0</v>
      </c>
      <c r="AB80">
        <v>0</v>
      </c>
      <c r="AC80">
        <v>36.170212765957437</v>
      </c>
      <c r="AE80">
        <v>4</v>
      </c>
      <c r="AF80">
        <v>59</v>
      </c>
      <c r="AI80">
        <v>0</v>
      </c>
      <c r="AJ80">
        <v>0</v>
      </c>
    </row>
    <row r="81" spans="1:36" x14ac:dyDescent="0.3">
      <c r="A81" t="s">
        <v>104</v>
      </c>
      <c r="B81" t="s">
        <v>599</v>
      </c>
      <c r="C81" t="s">
        <v>599</v>
      </c>
      <c r="D81">
        <v>101195.97</v>
      </c>
      <c r="E81">
        <v>28120.99</v>
      </c>
      <c r="G81" t="s">
        <v>543</v>
      </c>
      <c r="H81">
        <v>110000</v>
      </c>
      <c r="I81">
        <v>94000</v>
      </c>
      <c r="J81">
        <v>94000</v>
      </c>
      <c r="K81">
        <v>0</v>
      </c>
      <c r="L81">
        <v>94000</v>
      </c>
      <c r="M81">
        <v>34000</v>
      </c>
      <c r="N81">
        <v>60000</v>
      </c>
      <c r="O81">
        <v>60000</v>
      </c>
      <c r="P81">
        <v>488.69</v>
      </c>
      <c r="Q81">
        <v>0</v>
      </c>
      <c r="R81">
        <v>25</v>
      </c>
      <c r="S81">
        <v>0</v>
      </c>
      <c r="T81">
        <v>0</v>
      </c>
      <c r="U81">
        <v>0</v>
      </c>
      <c r="X81">
        <v>35370</v>
      </c>
      <c r="Y81">
        <v>0</v>
      </c>
      <c r="AA81">
        <v>0</v>
      </c>
      <c r="AB81">
        <v>0</v>
      </c>
      <c r="AC81">
        <v>36.170212765957437</v>
      </c>
      <c r="AE81">
        <v>4</v>
      </c>
      <c r="AF81">
        <v>59</v>
      </c>
      <c r="AI81">
        <v>0</v>
      </c>
      <c r="AJ81">
        <v>0</v>
      </c>
    </row>
    <row r="82" spans="1:36" x14ac:dyDescent="0.3">
      <c r="A82" t="s">
        <v>105</v>
      </c>
      <c r="B82" t="s">
        <v>600</v>
      </c>
      <c r="C82" t="s">
        <v>601</v>
      </c>
      <c r="D82">
        <v>120832.61</v>
      </c>
      <c r="E82">
        <v>8228.9599999999991</v>
      </c>
      <c r="G82" t="s">
        <v>543</v>
      </c>
      <c r="H82">
        <v>123000</v>
      </c>
      <c r="I82">
        <v>130000</v>
      </c>
      <c r="J82">
        <v>121000</v>
      </c>
      <c r="K82">
        <v>0</v>
      </c>
      <c r="L82">
        <v>121000</v>
      </c>
      <c r="M82">
        <v>24200</v>
      </c>
      <c r="N82">
        <v>96800</v>
      </c>
      <c r="O82">
        <v>96800</v>
      </c>
      <c r="P82">
        <v>597</v>
      </c>
      <c r="Q82">
        <v>0</v>
      </c>
      <c r="R82">
        <v>25</v>
      </c>
      <c r="S82">
        <v>0</v>
      </c>
      <c r="T82">
        <v>0</v>
      </c>
      <c r="U82">
        <v>0</v>
      </c>
      <c r="X82">
        <v>26706.94</v>
      </c>
      <c r="Y82">
        <v>0</v>
      </c>
      <c r="AA82">
        <v>0</v>
      </c>
      <c r="AB82">
        <v>0</v>
      </c>
      <c r="AC82">
        <v>25.53846153846154</v>
      </c>
      <c r="AE82">
        <v>2</v>
      </c>
      <c r="AF82">
        <v>56</v>
      </c>
      <c r="AI82">
        <v>0</v>
      </c>
      <c r="AJ82">
        <v>0</v>
      </c>
    </row>
    <row r="83" spans="1:36" x14ac:dyDescent="0.3">
      <c r="A83" t="s">
        <v>106</v>
      </c>
      <c r="X83">
        <v>0</v>
      </c>
      <c r="AE83">
        <v>0</v>
      </c>
      <c r="AF83">
        <v>0</v>
      </c>
    </row>
    <row r="84" spans="1:36" x14ac:dyDescent="0.3">
      <c r="A84" t="s">
        <v>107</v>
      </c>
      <c r="B84" t="s">
        <v>602</v>
      </c>
      <c r="C84" t="s">
        <v>603</v>
      </c>
      <c r="D84">
        <v>105196.82</v>
      </c>
      <c r="E84">
        <v>36338.980000000003</v>
      </c>
      <c r="G84" t="s">
        <v>543</v>
      </c>
      <c r="H84">
        <v>126000</v>
      </c>
      <c r="I84">
        <v>135000</v>
      </c>
      <c r="J84">
        <v>126000</v>
      </c>
      <c r="K84">
        <v>0</v>
      </c>
      <c r="L84">
        <v>126000</v>
      </c>
      <c r="M84">
        <v>25200</v>
      </c>
      <c r="N84">
        <v>100800</v>
      </c>
      <c r="O84">
        <v>100800</v>
      </c>
      <c r="P84">
        <v>641</v>
      </c>
      <c r="Q84">
        <v>0</v>
      </c>
      <c r="R84">
        <v>25</v>
      </c>
      <c r="S84">
        <v>0</v>
      </c>
      <c r="T84">
        <v>0</v>
      </c>
      <c r="U84">
        <v>0</v>
      </c>
      <c r="X84">
        <v>37901.980000000003</v>
      </c>
      <c r="Y84">
        <v>0</v>
      </c>
      <c r="AA84">
        <v>0</v>
      </c>
      <c r="AB84">
        <v>0</v>
      </c>
      <c r="AC84">
        <v>25.333333333333329</v>
      </c>
      <c r="AE84">
        <v>2</v>
      </c>
      <c r="AF84">
        <v>78</v>
      </c>
      <c r="AI84">
        <v>0</v>
      </c>
      <c r="AJ84">
        <v>0</v>
      </c>
    </row>
    <row r="85" spans="1:36" x14ac:dyDescent="0.3">
      <c r="A85" t="s">
        <v>108</v>
      </c>
      <c r="B85" t="s">
        <v>604</v>
      </c>
      <c r="C85" t="s">
        <v>604</v>
      </c>
      <c r="D85">
        <v>90026.53</v>
      </c>
      <c r="E85">
        <v>32888</v>
      </c>
      <c r="G85" t="s">
        <v>543</v>
      </c>
      <c r="H85">
        <v>110000</v>
      </c>
      <c r="I85">
        <v>110000</v>
      </c>
      <c r="J85">
        <v>101000</v>
      </c>
      <c r="K85">
        <v>0</v>
      </c>
      <c r="L85">
        <v>101000</v>
      </c>
      <c r="M85">
        <v>20200</v>
      </c>
      <c r="N85">
        <v>80800</v>
      </c>
      <c r="O85">
        <v>80800</v>
      </c>
      <c r="P85">
        <v>543</v>
      </c>
      <c r="Q85">
        <v>0</v>
      </c>
      <c r="R85">
        <v>25</v>
      </c>
      <c r="S85">
        <v>0</v>
      </c>
      <c r="T85">
        <v>0</v>
      </c>
      <c r="U85">
        <v>0</v>
      </c>
      <c r="X85">
        <v>37080.639999999999</v>
      </c>
      <c r="Y85">
        <v>0</v>
      </c>
      <c r="AA85">
        <v>0</v>
      </c>
      <c r="AB85">
        <v>0</v>
      </c>
      <c r="AC85">
        <v>26.54545454545455</v>
      </c>
      <c r="AE85">
        <v>4</v>
      </c>
      <c r="AF85">
        <v>63</v>
      </c>
      <c r="AI85">
        <v>0</v>
      </c>
      <c r="AJ85">
        <v>0</v>
      </c>
    </row>
    <row r="86" spans="1:36" x14ac:dyDescent="0.3">
      <c r="A86" t="s">
        <v>109</v>
      </c>
      <c r="B86" t="s">
        <v>605</v>
      </c>
      <c r="C86" t="s">
        <v>605</v>
      </c>
      <c r="D86">
        <v>81835.47</v>
      </c>
      <c r="E86">
        <v>27064</v>
      </c>
      <c r="G86" t="s">
        <v>543</v>
      </c>
      <c r="H86">
        <v>95000</v>
      </c>
      <c r="I86">
        <v>81000</v>
      </c>
      <c r="J86">
        <v>81000</v>
      </c>
      <c r="K86">
        <v>0</v>
      </c>
      <c r="L86">
        <v>81000</v>
      </c>
      <c r="M86">
        <v>21000</v>
      </c>
      <c r="N86">
        <v>60000</v>
      </c>
      <c r="O86">
        <v>60000</v>
      </c>
      <c r="P86">
        <v>410</v>
      </c>
      <c r="Q86">
        <v>0</v>
      </c>
      <c r="R86">
        <v>25</v>
      </c>
      <c r="S86">
        <v>0</v>
      </c>
      <c r="T86">
        <v>0</v>
      </c>
      <c r="U86">
        <v>0</v>
      </c>
      <c r="X86">
        <v>26985.66</v>
      </c>
      <c r="Y86">
        <v>0</v>
      </c>
      <c r="AA86">
        <v>0</v>
      </c>
      <c r="AB86">
        <v>0</v>
      </c>
      <c r="AC86">
        <v>25.925925925925931</v>
      </c>
      <c r="AE86">
        <v>1</v>
      </c>
      <c r="AF86">
        <v>65</v>
      </c>
      <c r="AI86">
        <v>0</v>
      </c>
      <c r="AJ86">
        <v>0</v>
      </c>
    </row>
    <row r="87" spans="1:36" x14ac:dyDescent="0.3">
      <c r="A87" t="s">
        <v>110</v>
      </c>
      <c r="B87" t="s">
        <v>589</v>
      </c>
      <c r="C87" t="s">
        <v>606</v>
      </c>
      <c r="D87">
        <v>99000</v>
      </c>
      <c r="E87">
        <v>31122.63</v>
      </c>
      <c r="G87" t="s">
        <v>543</v>
      </c>
      <c r="H87">
        <v>105000</v>
      </c>
      <c r="I87">
        <v>107500</v>
      </c>
      <c r="J87">
        <v>97500</v>
      </c>
      <c r="K87">
        <v>0</v>
      </c>
      <c r="L87">
        <v>97500</v>
      </c>
      <c r="M87">
        <v>19500</v>
      </c>
      <c r="N87">
        <v>78000</v>
      </c>
      <c r="O87">
        <v>78000</v>
      </c>
      <c r="P87">
        <v>565.53</v>
      </c>
      <c r="Q87">
        <v>0</v>
      </c>
      <c r="R87">
        <v>25</v>
      </c>
      <c r="S87">
        <v>0</v>
      </c>
      <c r="T87">
        <v>0</v>
      </c>
      <c r="U87">
        <v>0</v>
      </c>
      <c r="X87">
        <v>26593</v>
      </c>
      <c r="Y87">
        <v>0</v>
      </c>
      <c r="AA87">
        <v>0</v>
      </c>
      <c r="AB87">
        <v>0</v>
      </c>
      <c r="AC87">
        <v>27.441860465116271</v>
      </c>
      <c r="AE87">
        <v>1</v>
      </c>
      <c r="AF87">
        <v>59</v>
      </c>
      <c r="AI87">
        <v>0</v>
      </c>
      <c r="AJ87">
        <v>0</v>
      </c>
    </row>
    <row r="88" spans="1:36" x14ac:dyDescent="0.3">
      <c r="A88" t="s">
        <v>111</v>
      </c>
      <c r="B88" t="s">
        <v>607</v>
      </c>
      <c r="C88" t="s">
        <v>607</v>
      </c>
      <c r="D88">
        <v>78383.539999999994</v>
      </c>
      <c r="E88">
        <v>23893.01</v>
      </c>
      <c r="G88" t="s">
        <v>543</v>
      </c>
      <c r="H88">
        <v>102374</v>
      </c>
      <c r="I88">
        <v>85000</v>
      </c>
      <c r="J88">
        <v>77500</v>
      </c>
      <c r="K88">
        <v>0</v>
      </c>
      <c r="L88">
        <v>77500</v>
      </c>
      <c r="M88">
        <v>27500</v>
      </c>
      <c r="N88">
        <v>50000</v>
      </c>
      <c r="O88">
        <v>50000</v>
      </c>
      <c r="P88">
        <v>423.72</v>
      </c>
      <c r="Q88">
        <v>0</v>
      </c>
      <c r="R88">
        <v>25</v>
      </c>
      <c r="S88">
        <v>0</v>
      </c>
      <c r="T88">
        <v>0</v>
      </c>
      <c r="U88">
        <v>0</v>
      </c>
      <c r="X88">
        <v>26616.58</v>
      </c>
      <c r="Y88">
        <v>0</v>
      </c>
      <c r="AA88">
        <v>0</v>
      </c>
      <c r="AB88">
        <v>0</v>
      </c>
      <c r="AC88">
        <v>41.17647058823529</v>
      </c>
      <c r="AE88">
        <v>2</v>
      </c>
      <c r="AF88">
        <v>55</v>
      </c>
      <c r="AI88">
        <v>0</v>
      </c>
      <c r="AJ88">
        <v>0</v>
      </c>
    </row>
    <row r="89" spans="1:36" x14ac:dyDescent="0.3">
      <c r="A89" t="s">
        <v>112</v>
      </c>
      <c r="B89" t="s">
        <v>558</v>
      </c>
      <c r="C89" t="s">
        <v>559</v>
      </c>
      <c r="D89">
        <v>55742.239999999998</v>
      </c>
      <c r="E89">
        <v>42963.27</v>
      </c>
      <c r="G89" t="s">
        <v>543</v>
      </c>
      <c r="H89">
        <v>50000</v>
      </c>
      <c r="I89">
        <v>67000</v>
      </c>
      <c r="J89">
        <v>47000</v>
      </c>
      <c r="K89">
        <v>0</v>
      </c>
      <c r="L89">
        <v>47000</v>
      </c>
      <c r="M89">
        <v>9400</v>
      </c>
      <c r="N89">
        <v>37600</v>
      </c>
      <c r="O89">
        <v>37600</v>
      </c>
      <c r="P89">
        <v>190.52</v>
      </c>
      <c r="Q89">
        <v>108.48</v>
      </c>
      <c r="R89">
        <v>75</v>
      </c>
      <c r="S89">
        <v>4.4999999999999998E-2</v>
      </c>
      <c r="T89">
        <v>0</v>
      </c>
      <c r="U89">
        <v>0</v>
      </c>
      <c r="X89">
        <v>27164.799999999999</v>
      </c>
      <c r="Y89">
        <v>0</v>
      </c>
      <c r="AA89">
        <v>0</v>
      </c>
      <c r="AB89">
        <v>0</v>
      </c>
      <c r="AC89">
        <v>43.880597014925371</v>
      </c>
      <c r="AE89">
        <v>1</v>
      </c>
      <c r="AF89">
        <v>65</v>
      </c>
      <c r="AI89">
        <v>0</v>
      </c>
      <c r="AJ89">
        <v>0</v>
      </c>
    </row>
    <row r="90" spans="1:36" x14ac:dyDescent="0.3">
      <c r="A90" t="s">
        <v>113</v>
      </c>
      <c r="B90" t="s">
        <v>608</v>
      </c>
      <c r="C90" t="s">
        <v>608</v>
      </c>
      <c r="D90">
        <v>92006.55</v>
      </c>
      <c r="E90">
        <v>29382</v>
      </c>
      <c r="G90" t="s">
        <v>543</v>
      </c>
      <c r="H90">
        <v>89000</v>
      </c>
      <c r="I90">
        <v>92000</v>
      </c>
      <c r="J90">
        <v>92000</v>
      </c>
      <c r="K90">
        <v>0</v>
      </c>
      <c r="L90">
        <v>92000</v>
      </c>
      <c r="M90">
        <v>12000</v>
      </c>
      <c r="N90">
        <v>80000</v>
      </c>
      <c r="O90">
        <v>80000</v>
      </c>
      <c r="P90">
        <v>607.20000000000005</v>
      </c>
      <c r="Q90">
        <v>0</v>
      </c>
      <c r="R90">
        <v>25</v>
      </c>
      <c r="S90">
        <v>0</v>
      </c>
      <c r="T90">
        <v>0</v>
      </c>
      <c r="U90">
        <v>0</v>
      </c>
      <c r="X90">
        <v>35631.31</v>
      </c>
      <c r="Y90">
        <v>0</v>
      </c>
      <c r="AA90">
        <v>0</v>
      </c>
      <c r="AB90">
        <v>0</v>
      </c>
      <c r="AC90">
        <v>13.04347826086957</v>
      </c>
      <c r="AE90">
        <v>4</v>
      </c>
      <c r="AF90">
        <v>60</v>
      </c>
      <c r="AI90">
        <v>0</v>
      </c>
      <c r="AJ90">
        <v>0</v>
      </c>
    </row>
    <row r="91" spans="1:36" x14ac:dyDescent="0.3">
      <c r="A91" t="s">
        <v>114</v>
      </c>
      <c r="B91" t="s">
        <v>609</v>
      </c>
      <c r="C91" t="s">
        <v>610</v>
      </c>
      <c r="D91">
        <v>91000</v>
      </c>
      <c r="E91">
        <v>59718.71</v>
      </c>
      <c r="G91" t="s">
        <v>543</v>
      </c>
      <c r="H91">
        <v>100000</v>
      </c>
      <c r="I91">
        <v>125000</v>
      </c>
      <c r="J91">
        <v>101000</v>
      </c>
      <c r="K91">
        <v>0</v>
      </c>
      <c r="L91">
        <v>101000</v>
      </c>
      <c r="M91">
        <v>20200</v>
      </c>
      <c r="N91">
        <v>80800</v>
      </c>
      <c r="O91">
        <v>80800</v>
      </c>
      <c r="P91">
        <v>403.43</v>
      </c>
      <c r="Q91">
        <v>125.57</v>
      </c>
      <c r="R91">
        <v>75</v>
      </c>
      <c r="S91">
        <v>4.3749999999999997E-2</v>
      </c>
      <c r="T91">
        <v>0</v>
      </c>
      <c r="U91">
        <v>0</v>
      </c>
      <c r="X91">
        <v>34784</v>
      </c>
      <c r="Y91">
        <v>0</v>
      </c>
      <c r="AA91">
        <v>0</v>
      </c>
      <c r="AB91">
        <v>0</v>
      </c>
      <c r="AC91">
        <v>35.36</v>
      </c>
      <c r="AE91">
        <v>3</v>
      </c>
      <c r="AF91">
        <v>67</v>
      </c>
      <c r="AI91">
        <v>0</v>
      </c>
      <c r="AJ91">
        <v>0</v>
      </c>
    </row>
    <row r="92" spans="1:36" x14ac:dyDescent="0.3">
      <c r="A92" t="s">
        <v>115</v>
      </c>
      <c r="B92" t="s">
        <v>611</v>
      </c>
      <c r="C92" t="s">
        <v>612</v>
      </c>
      <c r="D92">
        <v>169341.77</v>
      </c>
      <c r="E92">
        <v>9754</v>
      </c>
      <c r="G92" t="s">
        <v>543</v>
      </c>
      <c r="H92">
        <v>179000</v>
      </c>
      <c r="I92">
        <v>168000</v>
      </c>
      <c r="J92">
        <v>160000</v>
      </c>
      <c r="K92">
        <v>0</v>
      </c>
      <c r="L92">
        <v>160000</v>
      </c>
      <c r="M92">
        <v>92565</v>
      </c>
      <c r="N92">
        <v>67435</v>
      </c>
      <c r="O92">
        <v>67435</v>
      </c>
      <c r="P92">
        <v>650.29</v>
      </c>
      <c r="Q92">
        <v>0</v>
      </c>
      <c r="R92">
        <v>25</v>
      </c>
      <c r="S92">
        <v>0</v>
      </c>
      <c r="T92">
        <v>0</v>
      </c>
      <c r="U92">
        <v>0</v>
      </c>
      <c r="X92">
        <v>31720</v>
      </c>
      <c r="Y92">
        <v>0</v>
      </c>
      <c r="AA92">
        <v>0</v>
      </c>
      <c r="AB92">
        <v>0</v>
      </c>
      <c r="AC92">
        <v>59.860119047619051</v>
      </c>
      <c r="AE92">
        <v>4</v>
      </c>
      <c r="AF92">
        <v>54</v>
      </c>
      <c r="AI92">
        <v>0</v>
      </c>
      <c r="AJ92">
        <v>0</v>
      </c>
    </row>
    <row r="93" spans="1:36" x14ac:dyDescent="0.3">
      <c r="A93" t="s">
        <v>115</v>
      </c>
      <c r="B93" t="s">
        <v>611</v>
      </c>
      <c r="C93" t="s">
        <v>612</v>
      </c>
      <c r="D93">
        <v>169341.77</v>
      </c>
      <c r="E93">
        <v>9754</v>
      </c>
      <c r="G93" t="s">
        <v>543</v>
      </c>
      <c r="H93">
        <v>179000</v>
      </c>
      <c r="I93">
        <v>168000</v>
      </c>
      <c r="J93">
        <v>160000</v>
      </c>
      <c r="K93">
        <v>0</v>
      </c>
      <c r="L93">
        <v>160000</v>
      </c>
      <c r="M93">
        <v>92565</v>
      </c>
      <c r="N93">
        <v>67435</v>
      </c>
      <c r="O93">
        <v>67435</v>
      </c>
      <c r="P93">
        <v>650.29</v>
      </c>
      <c r="Q93">
        <v>0</v>
      </c>
      <c r="R93">
        <v>25</v>
      </c>
      <c r="S93">
        <v>0</v>
      </c>
      <c r="T93">
        <v>0</v>
      </c>
      <c r="U93">
        <v>0</v>
      </c>
      <c r="X93">
        <v>31720</v>
      </c>
      <c r="Y93">
        <v>0</v>
      </c>
      <c r="AA93">
        <v>2.7000000000000001E-3</v>
      </c>
      <c r="AB93">
        <v>0</v>
      </c>
      <c r="AC93">
        <v>59.860119047619051</v>
      </c>
      <c r="AE93">
        <v>4</v>
      </c>
      <c r="AF93">
        <v>54</v>
      </c>
      <c r="AI93">
        <v>0</v>
      </c>
      <c r="AJ93">
        <v>0</v>
      </c>
    </row>
    <row r="94" spans="1:36" x14ac:dyDescent="0.3">
      <c r="A94" t="s">
        <v>116</v>
      </c>
      <c r="B94" t="s">
        <v>541</v>
      </c>
      <c r="C94" t="s">
        <v>613</v>
      </c>
      <c r="D94">
        <v>107910</v>
      </c>
      <c r="E94">
        <v>41372.32</v>
      </c>
      <c r="G94" t="s">
        <v>543</v>
      </c>
      <c r="H94">
        <v>129000</v>
      </c>
      <c r="I94">
        <v>145000</v>
      </c>
      <c r="J94">
        <v>136000</v>
      </c>
      <c r="K94">
        <v>0</v>
      </c>
      <c r="L94">
        <v>136000</v>
      </c>
      <c r="M94">
        <v>27200</v>
      </c>
      <c r="N94">
        <v>106800</v>
      </c>
      <c r="O94">
        <v>106800</v>
      </c>
      <c r="P94">
        <v>735</v>
      </c>
      <c r="Q94">
        <v>0</v>
      </c>
      <c r="R94">
        <v>25</v>
      </c>
      <c r="S94">
        <v>0</v>
      </c>
      <c r="T94">
        <v>0</v>
      </c>
      <c r="U94">
        <v>0</v>
      </c>
      <c r="X94">
        <v>28262</v>
      </c>
      <c r="Y94">
        <v>0</v>
      </c>
      <c r="AA94">
        <v>0</v>
      </c>
      <c r="AB94">
        <v>0</v>
      </c>
      <c r="AC94">
        <v>26.3448275862069</v>
      </c>
      <c r="AE94">
        <v>3</v>
      </c>
      <c r="AF94">
        <v>52</v>
      </c>
      <c r="AI94">
        <v>0</v>
      </c>
      <c r="AJ94">
        <v>0</v>
      </c>
    </row>
    <row r="95" spans="1:36" x14ac:dyDescent="0.3">
      <c r="A95" t="s">
        <v>117</v>
      </c>
      <c r="X95">
        <v>0</v>
      </c>
      <c r="AE95">
        <v>0</v>
      </c>
      <c r="AF95">
        <v>0</v>
      </c>
    </row>
    <row r="96" spans="1:36" x14ac:dyDescent="0.3">
      <c r="A96" t="s">
        <v>118</v>
      </c>
      <c r="B96" t="s">
        <v>614</v>
      </c>
      <c r="C96" t="s">
        <v>615</v>
      </c>
      <c r="D96">
        <v>0</v>
      </c>
      <c r="E96">
        <v>25000</v>
      </c>
      <c r="G96" t="s">
        <v>543</v>
      </c>
      <c r="H96">
        <v>113000</v>
      </c>
      <c r="I96">
        <v>143000</v>
      </c>
      <c r="J96">
        <v>129000</v>
      </c>
      <c r="K96">
        <v>0</v>
      </c>
      <c r="L96">
        <v>129000</v>
      </c>
      <c r="M96">
        <v>32950</v>
      </c>
      <c r="N96">
        <v>96050</v>
      </c>
      <c r="O96">
        <v>96050</v>
      </c>
      <c r="P96">
        <v>444.83</v>
      </c>
      <c r="Q96">
        <v>128.31</v>
      </c>
      <c r="R96">
        <v>30</v>
      </c>
      <c r="S96">
        <v>3.7499999999999999E-2</v>
      </c>
      <c r="T96">
        <v>0</v>
      </c>
      <c r="U96">
        <v>0</v>
      </c>
      <c r="X96">
        <v>28026</v>
      </c>
      <c r="Y96">
        <v>0</v>
      </c>
      <c r="AA96">
        <v>1.5989</v>
      </c>
      <c r="AB96">
        <v>0</v>
      </c>
      <c r="AC96">
        <v>32.832167832167833</v>
      </c>
      <c r="AE96">
        <v>3</v>
      </c>
      <c r="AF96">
        <v>55</v>
      </c>
      <c r="AI96">
        <v>0</v>
      </c>
      <c r="AJ96">
        <v>0</v>
      </c>
    </row>
    <row r="97" spans="1:36" x14ac:dyDescent="0.3">
      <c r="A97" t="s">
        <v>119</v>
      </c>
      <c r="B97" t="s">
        <v>616</v>
      </c>
      <c r="C97" t="s">
        <v>617</v>
      </c>
      <c r="D97">
        <v>0</v>
      </c>
      <c r="E97">
        <v>0</v>
      </c>
      <c r="H97">
        <v>0</v>
      </c>
      <c r="I97">
        <v>300000</v>
      </c>
      <c r="J97">
        <v>292000</v>
      </c>
      <c r="K97">
        <v>0</v>
      </c>
      <c r="L97">
        <v>292000</v>
      </c>
      <c r="M97">
        <v>103000</v>
      </c>
      <c r="N97">
        <v>189000</v>
      </c>
      <c r="O97">
        <v>165000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X97">
        <v>0</v>
      </c>
      <c r="Y97">
        <v>0</v>
      </c>
      <c r="AA97">
        <v>0</v>
      </c>
      <c r="AB97">
        <v>0</v>
      </c>
      <c r="AC97">
        <v>37</v>
      </c>
      <c r="AE97">
        <v>0</v>
      </c>
      <c r="AF97">
        <v>0</v>
      </c>
      <c r="AI97">
        <v>0</v>
      </c>
      <c r="AJ97">
        <v>0</v>
      </c>
    </row>
    <row r="98" spans="1:36" x14ac:dyDescent="0.3">
      <c r="A98" t="s">
        <v>120</v>
      </c>
      <c r="B98" t="s">
        <v>600</v>
      </c>
      <c r="C98" t="s">
        <v>601</v>
      </c>
      <c r="D98">
        <v>56149.95</v>
      </c>
      <c r="E98">
        <v>64426.95</v>
      </c>
      <c r="G98" t="s">
        <v>543</v>
      </c>
      <c r="H98">
        <v>105000</v>
      </c>
      <c r="I98">
        <v>109000</v>
      </c>
      <c r="J98">
        <v>100000</v>
      </c>
      <c r="K98">
        <v>0</v>
      </c>
      <c r="L98">
        <v>100000</v>
      </c>
      <c r="M98">
        <v>20000</v>
      </c>
      <c r="N98">
        <v>80000</v>
      </c>
      <c r="O98">
        <v>80000</v>
      </c>
      <c r="P98">
        <v>399.43</v>
      </c>
      <c r="Q98">
        <v>139.57</v>
      </c>
      <c r="R98">
        <v>25</v>
      </c>
      <c r="S98">
        <v>4.3749999999999997E-2</v>
      </c>
      <c r="T98">
        <v>0</v>
      </c>
      <c r="U98">
        <v>0</v>
      </c>
      <c r="X98">
        <v>35135.1</v>
      </c>
      <c r="Y98">
        <v>0</v>
      </c>
      <c r="AA98">
        <v>0</v>
      </c>
      <c r="AB98">
        <v>0</v>
      </c>
      <c r="AC98">
        <v>26.605504587155959</v>
      </c>
      <c r="AE98">
        <v>4</v>
      </c>
      <c r="AF98">
        <v>59</v>
      </c>
      <c r="AI98">
        <v>0</v>
      </c>
      <c r="AJ98">
        <v>0</v>
      </c>
    </row>
    <row r="99" spans="1:36" x14ac:dyDescent="0.3">
      <c r="A99" t="s">
        <v>121</v>
      </c>
      <c r="B99" t="s">
        <v>616</v>
      </c>
      <c r="C99" t="s">
        <v>618</v>
      </c>
      <c r="D99">
        <v>0</v>
      </c>
      <c r="E99">
        <v>0</v>
      </c>
      <c r="H99">
        <v>0</v>
      </c>
      <c r="I99">
        <v>290000</v>
      </c>
      <c r="J99">
        <v>281000</v>
      </c>
      <c r="K99">
        <v>0</v>
      </c>
      <c r="L99">
        <v>281000</v>
      </c>
      <c r="M99">
        <v>88000</v>
      </c>
      <c r="N99">
        <v>193000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X99">
        <v>43356</v>
      </c>
      <c r="Y99">
        <v>0</v>
      </c>
      <c r="AA99">
        <v>0</v>
      </c>
      <c r="AB99">
        <v>0</v>
      </c>
      <c r="AC99">
        <v>33.448275862068968</v>
      </c>
      <c r="AE99">
        <v>1</v>
      </c>
      <c r="AF99">
        <v>76.2</v>
      </c>
      <c r="AI99">
        <v>0</v>
      </c>
      <c r="AJ99">
        <v>0</v>
      </c>
    </row>
    <row r="100" spans="1:36" x14ac:dyDescent="0.3">
      <c r="A100" t="s">
        <v>122</v>
      </c>
      <c r="B100" t="s">
        <v>619</v>
      </c>
      <c r="C100" t="s">
        <v>619</v>
      </c>
      <c r="D100">
        <v>94387.04</v>
      </c>
      <c r="E100">
        <v>15059.38</v>
      </c>
      <c r="G100" t="s">
        <v>543</v>
      </c>
      <c r="H100">
        <v>105000</v>
      </c>
      <c r="I100">
        <v>88000</v>
      </c>
      <c r="J100">
        <v>81000</v>
      </c>
      <c r="K100">
        <v>0</v>
      </c>
      <c r="L100">
        <v>81000</v>
      </c>
      <c r="M100">
        <v>21000</v>
      </c>
      <c r="N100">
        <v>60000</v>
      </c>
      <c r="O100">
        <v>60000</v>
      </c>
      <c r="P100">
        <v>519.27</v>
      </c>
      <c r="Q100">
        <v>0</v>
      </c>
      <c r="R100">
        <v>25</v>
      </c>
      <c r="S100">
        <v>0</v>
      </c>
      <c r="T100">
        <v>0</v>
      </c>
      <c r="U100">
        <v>0</v>
      </c>
      <c r="X100">
        <v>28605.5</v>
      </c>
      <c r="Y100">
        <v>0</v>
      </c>
      <c r="AA100">
        <v>0</v>
      </c>
      <c r="AB100">
        <v>0</v>
      </c>
      <c r="AC100">
        <v>31.81818181818182</v>
      </c>
      <c r="AE100">
        <v>3</v>
      </c>
      <c r="AF100">
        <v>54</v>
      </c>
      <c r="AI100">
        <v>0</v>
      </c>
      <c r="AJ100">
        <v>0</v>
      </c>
    </row>
    <row r="101" spans="1:36" x14ac:dyDescent="0.3">
      <c r="A101" t="s">
        <v>123</v>
      </c>
      <c r="B101" t="s">
        <v>597</v>
      </c>
      <c r="C101" t="s">
        <v>598</v>
      </c>
      <c r="D101">
        <v>75000</v>
      </c>
      <c r="E101">
        <v>50823.4</v>
      </c>
      <c r="G101" t="s">
        <v>543</v>
      </c>
      <c r="H101">
        <v>139000</v>
      </c>
      <c r="I101">
        <v>147000</v>
      </c>
      <c r="J101">
        <v>117800</v>
      </c>
      <c r="K101">
        <v>0</v>
      </c>
      <c r="L101">
        <v>117800</v>
      </c>
      <c r="M101">
        <v>23560</v>
      </c>
      <c r="N101">
        <v>94240</v>
      </c>
      <c r="O101">
        <v>94240</v>
      </c>
      <c r="P101">
        <v>630</v>
      </c>
      <c r="Q101">
        <v>0</v>
      </c>
      <c r="R101">
        <v>75</v>
      </c>
      <c r="S101">
        <v>0</v>
      </c>
      <c r="T101">
        <v>0</v>
      </c>
      <c r="U101">
        <v>0</v>
      </c>
      <c r="X101">
        <v>39351</v>
      </c>
      <c r="Y101">
        <v>0</v>
      </c>
      <c r="AA101">
        <v>0</v>
      </c>
      <c r="AB101">
        <v>0</v>
      </c>
      <c r="AC101">
        <v>35.891156462585037</v>
      </c>
      <c r="AE101">
        <v>4</v>
      </c>
      <c r="AF101">
        <v>65</v>
      </c>
      <c r="AI101">
        <v>0</v>
      </c>
      <c r="AJ101">
        <v>0</v>
      </c>
    </row>
    <row r="102" spans="1:36" x14ac:dyDescent="0.3">
      <c r="A102" t="s">
        <v>124</v>
      </c>
      <c r="B102" t="s">
        <v>620</v>
      </c>
      <c r="C102" t="s">
        <v>620</v>
      </c>
      <c r="D102">
        <v>121187.63</v>
      </c>
      <c r="E102">
        <v>7744</v>
      </c>
      <c r="G102" t="s">
        <v>543</v>
      </c>
      <c r="H102">
        <v>117000</v>
      </c>
      <c r="I102">
        <v>117000</v>
      </c>
      <c r="J102">
        <v>107000</v>
      </c>
      <c r="K102">
        <v>0</v>
      </c>
      <c r="L102">
        <v>107000</v>
      </c>
      <c r="M102">
        <v>21400</v>
      </c>
      <c r="N102">
        <v>85600</v>
      </c>
      <c r="O102">
        <v>85600</v>
      </c>
      <c r="P102">
        <v>618.62</v>
      </c>
      <c r="Q102">
        <v>0</v>
      </c>
      <c r="R102">
        <v>25</v>
      </c>
      <c r="S102">
        <v>0</v>
      </c>
      <c r="T102">
        <v>0</v>
      </c>
      <c r="U102">
        <v>0</v>
      </c>
      <c r="X102">
        <v>31742.62</v>
      </c>
      <c r="Y102">
        <v>0</v>
      </c>
      <c r="AA102">
        <v>0</v>
      </c>
      <c r="AB102">
        <v>0</v>
      </c>
      <c r="AC102">
        <v>26.837606837606842</v>
      </c>
      <c r="AE102">
        <v>4</v>
      </c>
      <c r="AF102">
        <v>53</v>
      </c>
      <c r="AI102">
        <v>0</v>
      </c>
      <c r="AJ102">
        <v>0</v>
      </c>
    </row>
    <row r="103" spans="1:36" x14ac:dyDescent="0.3">
      <c r="A103" t="s">
        <v>125</v>
      </c>
      <c r="B103" t="s">
        <v>589</v>
      </c>
      <c r="C103" t="s">
        <v>621</v>
      </c>
      <c r="D103">
        <v>98299</v>
      </c>
      <c r="E103">
        <v>30322.62</v>
      </c>
      <c r="G103" t="s">
        <v>543</v>
      </c>
      <c r="H103">
        <v>107000</v>
      </c>
      <c r="I103">
        <v>115000</v>
      </c>
      <c r="J103">
        <v>106000</v>
      </c>
      <c r="K103">
        <v>0</v>
      </c>
      <c r="L103">
        <v>106000</v>
      </c>
      <c r="M103">
        <v>0</v>
      </c>
      <c r="N103">
        <v>84800</v>
      </c>
      <c r="O103">
        <v>84800</v>
      </c>
      <c r="P103">
        <v>549.4</v>
      </c>
      <c r="Q103">
        <v>0</v>
      </c>
      <c r="R103">
        <v>25</v>
      </c>
      <c r="S103">
        <v>0</v>
      </c>
      <c r="T103">
        <v>0</v>
      </c>
      <c r="U103">
        <v>0</v>
      </c>
      <c r="X103">
        <v>42832.01</v>
      </c>
      <c r="Y103">
        <v>0</v>
      </c>
      <c r="AA103">
        <v>0</v>
      </c>
      <c r="AB103">
        <v>0</v>
      </c>
      <c r="AC103">
        <v>26.260869565217391</v>
      </c>
      <c r="AE103">
        <v>5</v>
      </c>
      <c r="AF103">
        <v>65</v>
      </c>
      <c r="AI103">
        <v>0</v>
      </c>
      <c r="AJ103">
        <v>0</v>
      </c>
    </row>
    <row r="104" spans="1:36" x14ac:dyDescent="0.3">
      <c r="A104" t="s">
        <v>125</v>
      </c>
      <c r="B104" t="s">
        <v>589</v>
      </c>
      <c r="C104" t="s">
        <v>622</v>
      </c>
      <c r="D104">
        <v>0</v>
      </c>
      <c r="E104">
        <v>0</v>
      </c>
      <c r="H104">
        <v>189000</v>
      </c>
      <c r="I104">
        <v>219790</v>
      </c>
      <c r="J104">
        <v>200000</v>
      </c>
      <c r="K104">
        <v>0</v>
      </c>
      <c r="L104">
        <v>200000</v>
      </c>
      <c r="M104">
        <v>77000</v>
      </c>
      <c r="N104">
        <v>123000</v>
      </c>
      <c r="O104">
        <v>123000</v>
      </c>
      <c r="P104">
        <v>543.78</v>
      </c>
      <c r="Q104">
        <v>143.38999999999999</v>
      </c>
      <c r="R104">
        <v>30</v>
      </c>
      <c r="S104">
        <v>3.3750000000000002E-2</v>
      </c>
      <c r="T104">
        <v>0</v>
      </c>
      <c r="U104">
        <v>0</v>
      </c>
      <c r="X104">
        <v>42832.01</v>
      </c>
      <c r="Y104">
        <v>0</v>
      </c>
      <c r="AA104">
        <v>9.5879999999999992</v>
      </c>
      <c r="AB104">
        <v>0</v>
      </c>
      <c r="AC104">
        <v>44.037490331680239</v>
      </c>
      <c r="AE104">
        <v>5</v>
      </c>
      <c r="AF104">
        <v>65</v>
      </c>
      <c r="AI104">
        <v>0</v>
      </c>
      <c r="AJ104">
        <v>0</v>
      </c>
    </row>
    <row r="105" spans="1:36" x14ac:dyDescent="0.3">
      <c r="A105" t="s">
        <v>126</v>
      </c>
      <c r="B105" t="s">
        <v>595</v>
      </c>
      <c r="C105" t="s">
        <v>623</v>
      </c>
      <c r="D105">
        <v>75998.47</v>
      </c>
      <c r="E105">
        <v>44455.3</v>
      </c>
      <c r="G105" t="s">
        <v>543</v>
      </c>
      <c r="H105">
        <v>98000</v>
      </c>
      <c r="I105">
        <v>109000</v>
      </c>
      <c r="J105">
        <v>98900</v>
      </c>
      <c r="K105">
        <v>0</v>
      </c>
      <c r="L105">
        <v>98900</v>
      </c>
      <c r="M105">
        <v>0</v>
      </c>
      <c r="N105">
        <v>79120</v>
      </c>
      <c r="O105">
        <v>79120</v>
      </c>
      <c r="P105">
        <v>496</v>
      </c>
      <c r="Q105">
        <v>0</v>
      </c>
      <c r="R105">
        <v>25</v>
      </c>
      <c r="S105">
        <v>0</v>
      </c>
      <c r="T105">
        <v>0</v>
      </c>
      <c r="U105">
        <v>0</v>
      </c>
      <c r="X105">
        <v>23920</v>
      </c>
      <c r="Y105">
        <v>0</v>
      </c>
      <c r="AA105">
        <v>0</v>
      </c>
      <c r="AB105">
        <v>0</v>
      </c>
      <c r="AC105">
        <v>27.412844036697251</v>
      </c>
      <c r="AE105">
        <v>1</v>
      </c>
      <c r="AF105">
        <v>57</v>
      </c>
      <c r="AI105">
        <v>0</v>
      </c>
      <c r="AJ105">
        <v>0</v>
      </c>
    </row>
    <row r="106" spans="1:36" x14ac:dyDescent="0.3">
      <c r="A106" t="s">
        <v>127</v>
      </c>
      <c r="B106" t="s">
        <v>624</v>
      </c>
      <c r="C106" t="s">
        <v>625</v>
      </c>
      <c r="D106">
        <v>43220.87</v>
      </c>
      <c r="E106">
        <v>89655.569999999992</v>
      </c>
      <c r="G106" t="s">
        <v>543</v>
      </c>
      <c r="H106">
        <v>67500</v>
      </c>
      <c r="I106">
        <v>95000</v>
      </c>
      <c r="J106">
        <v>67500</v>
      </c>
      <c r="K106">
        <v>0</v>
      </c>
      <c r="L106">
        <v>67500</v>
      </c>
      <c r="M106">
        <v>0</v>
      </c>
      <c r="N106">
        <v>54000</v>
      </c>
      <c r="O106">
        <v>54000</v>
      </c>
      <c r="P106">
        <v>289.89</v>
      </c>
      <c r="Q106">
        <v>109.11</v>
      </c>
      <c r="R106">
        <v>75</v>
      </c>
      <c r="S106">
        <v>0.05</v>
      </c>
      <c r="T106">
        <v>0</v>
      </c>
      <c r="U106">
        <v>0</v>
      </c>
      <c r="X106">
        <v>33110</v>
      </c>
      <c r="Y106">
        <v>0</v>
      </c>
      <c r="AA106">
        <v>0</v>
      </c>
      <c r="AB106">
        <v>0</v>
      </c>
      <c r="AC106">
        <v>43.15789473684211</v>
      </c>
      <c r="AE106">
        <v>4</v>
      </c>
      <c r="AF106">
        <v>55</v>
      </c>
      <c r="AI106">
        <v>0</v>
      </c>
      <c r="AJ106">
        <v>0</v>
      </c>
    </row>
    <row r="107" spans="1:36" x14ac:dyDescent="0.3">
      <c r="A107" t="s">
        <v>130</v>
      </c>
      <c r="B107" t="s">
        <v>626</v>
      </c>
      <c r="C107" t="s">
        <v>626</v>
      </c>
      <c r="D107">
        <v>47547.72</v>
      </c>
      <c r="E107">
        <v>49144</v>
      </c>
      <c r="G107" t="s">
        <v>543</v>
      </c>
      <c r="H107">
        <v>69900</v>
      </c>
      <c r="I107">
        <v>73500</v>
      </c>
      <c r="J107">
        <v>64000</v>
      </c>
      <c r="K107">
        <v>0</v>
      </c>
      <c r="L107">
        <v>64000</v>
      </c>
      <c r="M107">
        <v>12800</v>
      </c>
      <c r="N107">
        <v>51200</v>
      </c>
      <c r="O107">
        <v>51200</v>
      </c>
      <c r="P107">
        <v>370.69</v>
      </c>
      <c r="Q107">
        <v>0</v>
      </c>
      <c r="R107">
        <v>25</v>
      </c>
      <c r="S107">
        <v>0</v>
      </c>
      <c r="T107">
        <v>0</v>
      </c>
      <c r="U107">
        <v>0</v>
      </c>
      <c r="X107">
        <v>29990</v>
      </c>
      <c r="Y107">
        <v>0</v>
      </c>
      <c r="AA107">
        <v>0</v>
      </c>
      <c r="AB107">
        <v>0</v>
      </c>
      <c r="AC107">
        <v>30.34013605442177</v>
      </c>
      <c r="AE107">
        <v>2</v>
      </c>
      <c r="AF107">
        <v>65</v>
      </c>
      <c r="AI107">
        <v>0</v>
      </c>
      <c r="AJ107">
        <v>0</v>
      </c>
    </row>
    <row r="108" spans="1:36" x14ac:dyDescent="0.3">
      <c r="A108" t="s">
        <v>131</v>
      </c>
      <c r="B108" t="s">
        <v>570</v>
      </c>
      <c r="C108" t="s">
        <v>570</v>
      </c>
      <c r="D108">
        <v>96694.28</v>
      </c>
      <c r="E108">
        <v>18478.650000000001</v>
      </c>
      <c r="G108" t="s">
        <v>543</v>
      </c>
      <c r="H108">
        <v>85000</v>
      </c>
      <c r="I108">
        <v>90000</v>
      </c>
      <c r="J108">
        <v>80000</v>
      </c>
      <c r="K108">
        <v>0</v>
      </c>
      <c r="L108">
        <v>80000</v>
      </c>
      <c r="M108">
        <v>30000</v>
      </c>
      <c r="N108">
        <v>50000</v>
      </c>
      <c r="O108">
        <v>50000</v>
      </c>
      <c r="P108">
        <v>419</v>
      </c>
      <c r="Q108">
        <v>0</v>
      </c>
      <c r="R108">
        <v>25</v>
      </c>
      <c r="S108">
        <v>0</v>
      </c>
      <c r="T108">
        <v>0</v>
      </c>
      <c r="U108">
        <v>0</v>
      </c>
      <c r="X108">
        <v>30354.74</v>
      </c>
      <c r="Y108">
        <v>0</v>
      </c>
      <c r="AA108">
        <v>0</v>
      </c>
      <c r="AB108">
        <v>0</v>
      </c>
      <c r="AC108">
        <v>44.444444444444443</v>
      </c>
      <c r="AE108">
        <v>2</v>
      </c>
      <c r="AF108">
        <v>78</v>
      </c>
      <c r="AI108">
        <v>0</v>
      </c>
      <c r="AJ108">
        <v>0</v>
      </c>
    </row>
    <row r="109" spans="1:36" x14ac:dyDescent="0.3">
      <c r="A109" t="s">
        <v>131</v>
      </c>
      <c r="B109" t="s">
        <v>570</v>
      </c>
      <c r="C109" t="s">
        <v>627</v>
      </c>
      <c r="D109">
        <v>0</v>
      </c>
      <c r="E109">
        <v>0</v>
      </c>
      <c r="H109">
        <v>144000</v>
      </c>
      <c r="I109">
        <v>151000</v>
      </c>
      <c r="J109">
        <v>139000</v>
      </c>
      <c r="K109">
        <v>0</v>
      </c>
      <c r="L109">
        <v>139000</v>
      </c>
      <c r="M109">
        <v>53000</v>
      </c>
      <c r="N109">
        <v>86000</v>
      </c>
      <c r="O109">
        <v>86000</v>
      </c>
      <c r="P109">
        <v>416.8</v>
      </c>
      <c r="Q109">
        <v>162.30000000000001</v>
      </c>
      <c r="R109">
        <v>30</v>
      </c>
      <c r="S109">
        <v>4.1250000000000002E-2</v>
      </c>
      <c r="T109">
        <v>0</v>
      </c>
      <c r="U109">
        <v>0</v>
      </c>
      <c r="X109">
        <v>30354.74</v>
      </c>
      <c r="Y109">
        <v>0</v>
      </c>
      <c r="AA109">
        <v>5.5277000000000003</v>
      </c>
      <c r="AB109">
        <v>0</v>
      </c>
      <c r="AC109">
        <v>43.046357615894038</v>
      </c>
      <c r="AE109">
        <v>2</v>
      </c>
      <c r="AF109">
        <v>78</v>
      </c>
      <c r="AI109">
        <v>0</v>
      </c>
      <c r="AJ109">
        <v>0</v>
      </c>
    </row>
    <row r="110" spans="1:36" x14ac:dyDescent="0.3">
      <c r="A110" t="s">
        <v>132</v>
      </c>
      <c r="B110" t="s">
        <v>628</v>
      </c>
      <c r="C110" t="s">
        <v>628</v>
      </c>
      <c r="D110">
        <v>80360.44</v>
      </c>
      <c r="E110">
        <v>33314.379999999997</v>
      </c>
      <c r="G110" t="s">
        <v>543</v>
      </c>
      <c r="H110">
        <v>65000</v>
      </c>
      <c r="I110">
        <v>77000</v>
      </c>
      <c r="J110">
        <v>50000</v>
      </c>
      <c r="K110">
        <v>0</v>
      </c>
      <c r="L110">
        <v>50000</v>
      </c>
      <c r="M110">
        <v>10000</v>
      </c>
      <c r="N110">
        <v>40000</v>
      </c>
      <c r="O110">
        <v>40000</v>
      </c>
      <c r="P110">
        <v>318</v>
      </c>
      <c r="Q110">
        <v>0</v>
      </c>
      <c r="R110">
        <v>75</v>
      </c>
      <c r="S110">
        <v>0</v>
      </c>
      <c r="T110">
        <v>0</v>
      </c>
      <c r="U110">
        <v>0</v>
      </c>
      <c r="X110">
        <v>39800</v>
      </c>
      <c r="Y110">
        <v>0</v>
      </c>
      <c r="AA110">
        <v>0</v>
      </c>
      <c r="AB110">
        <v>0</v>
      </c>
      <c r="AC110">
        <v>48.05194805194806</v>
      </c>
      <c r="AE110">
        <v>3</v>
      </c>
      <c r="AF110">
        <v>74</v>
      </c>
      <c r="AI110">
        <v>0</v>
      </c>
      <c r="AJ110">
        <v>0</v>
      </c>
    </row>
    <row r="111" spans="1:36" x14ac:dyDescent="0.3">
      <c r="A111" t="s">
        <v>133</v>
      </c>
      <c r="B111" t="s">
        <v>602</v>
      </c>
      <c r="C111" t="s">
        <v>629</v>
      </c>
      <c r="D111">
        <v>62863.25</v>
      </c>
      <c r="E111">
        <v>59088.66</v>
      </c>
      <c r="G111" t="s">
        <v>543</v>
      </c>
      <c r="H111">
        <v>102000</v>
      </c>
      <c r="I111">
        <v>124000</v>
      </c>
      <c r="J111">
        <v>99500</v>
      </c>
      <c r="K111">
        <v>0</v>
      </c>
      <c r="L111">
        <v>99500</v>
      </c>
      <c r="M111">
        <v>19900</v>
      </c>
      <c r="N111">
        <v>79600</v>
      </c>
      <c r="O111">
        <v>79600</v>
      </c>
      <c r="P111">
        <v>403.33</v>
      </c>
      <c r="Q111">
        <v>122.67</v>
      </c>
      <c r="R111">
        <v>75</v>
      </c>
      <c r="S111">
        <v>4.4999999999999998E-2</v>
      </c>
      <c r="T111">
        <v>0</v>
      </c>
      <c r="U111">
        <v>0</v>
      </c>
      <c r="X111">
        <v>42084</v>
      </c>
      <c r="Y111">
        <v>0</v>
      </c>
      <c r="AA111">
        <v>0</v>
      </c>
      <c r="AB111">
        <v>0</v>
      </c>
      <c r="AC111">
        <v>35.806451612903217</v>
      </c>
      <c r="AE111">
        <v>5</v>
      </c>
      <c r="AF111">
        <v>65</v>
      </c>
      <c r="AI111">
        <v>0</v>
      </c>
      <c r="AJ111">
        <v>0</v>
      </c>
    </row>
    <row r="112" spans="1:36" x14ac:dyDescent="0.3">
      <c r="A112" t="s">
        <v>134</v>
      </c>
      <c r="B112" t="s">
        <v>630</v>
      </c>
      <c r="C112" t="s">
        <v>630</v>
      </c>
      <c r="D112">
        <v>93348.55</v>
      </c>
      <c r="E112">
        <v>18054</v>
      </c>
      <c r="G112" t="s">
        <v>543</v>
      </c>
      <c r="H112">
        <v>110000</v>
      </c>
      <c r="I112">
        <v>78000</v>
      </c>
      <c r="J112">
        <v>78000</v>
      </c>
      <c r="K112">
        <v>0</v>
      </c>
      <c r="L112">
        <v>78000</v>
      </c>
      <c r="M112">
        <v>10000</v>
      </c>
      <c r="N112">
        <v>68000</v>
      </c>
      <c r="O112">
        <v>68000</v>
      </c>
      <c r="P112">
        <v>513.74</v>
      </c>
      <c r="Q112">
        <v>0</v>
      </c>
      <c r="R112">
        <v>25</v>
      </c>
      <c r="S112">
        <v>0</v>
      </c>
      <c r="T112">
        <v>0</v>
      </c>
      <c r="U112">
        <v>0</v>
      </c>
      <c r="X112">
        <v>32450.6</v>
      </c>
      <c r="Y112">
        <v>0</v>
      </c>
      <c r="AA112">
        <v>0</v>
      </c>
      <c r="AB112">
        <v>0</v>
      </c>
      <c r="AC112">
        <v>12.820512820512819</v>
      </c>
      <c r="AE112">
        <v>3</v>
      </c>
      <c r="AF112">
        <v>61</v>
      </c>
      <c r="AI112">
        <v>0</v>
      </c>
      <c r="AJ112">
        <v>0</v>
      </c>
    </row>
    <row r="113" spans="1:36" x14ac:dyDescent="0.3">
      <c r="A113" t="s">
        <v>135</v>
      </c>
      <c r="B113" t="s">
        <v>631</v>
      </c>
      <c r="C113" t="s">
        <v>631</v>
      </c>
      <c r="D113">
        <v>81660.929999999993</v>
      </c>
      <c r="E113">
        <v>17513.95</v>
      </c>
      <c r="G113" t="s">
        <v>543</v>
      </c>
      <c r="H113">
        <v>100000</v>
      </c>
      <c r="I113">
        <v>93000</v>
      </c>
      <c r="J113">
        <v>82500</v>
      </c>
      <c r="K113">
        <v>0</v>
      </c>
      <c r="L113">
        <v>82500</v>
      </c>
      <c r="M113">
        <v>0</v>
      </c>
      <c r="N113">
        <v>66000</v>
      </c>
      <c r="O113">
        <v>66000</v>
      </c>
      <c r="P113">
        <v>439</v>
      </c>
      <c r="Q113">
        <v>0</v>
      </c>
      <c r="R113">
        <v>25</v>
      </c>
      <c r="S113">
        <v>0</v>
      </c>
      <c r="T113">
        <v>0</v>
      </c>
      <c r="U113">
        <v>0</v>
      </c>
      <c r="X113">
        <v>38805.660000000003</v>
      </c>
      <c r="Y113">
        <v>0</v>
      </c>
      <c r="AA113">
        <v>0</v>
      </c>
      <c r="AB113">
        <v>0</v>
      </c>
      <c r="AC113">
        <v>29.032258064516121</v>
      </c>
      <c r="AE113">
        <v>4</v>
      </c>
      <c r="AF113">
        <v>64</v>
      </c>
      <c r="AI113">
        <v>0</v>
      </c>
      <c r="AJ113">
        <v>0</v>
      </c>
    </row>
    <row r="114" spans="1:36" x14ac:dyDescent="0.3">
      <c r="A114" t="s">
        <v>136</v>
      </c>
      <c r="B114" t="s">
        <v>632</v>
      </c>
      <c r="C114" t="s">
        <v>633</v>
      </c>
      <c r="D114">
        <v>0</v>
      </c>
      <c r="E114">
        <v>14791.53</v>
      </c>
      <c r="G114" t="s">
        <v>543</v>
      </c>
      <c r="H114">
        <v>79000</v>
      </c>
      <c r="I114">
        <v>90000</v>
      </c>
      <c r="J114">
        <v>80500</v>
      </c>
      <c r="K114">
        <v>0</v>
      </c>
      <c r="L114">
        <v>80500</v>
      </c>
      <c r="M114">
        <v>16100</v>
      </c>
      <c r="N114">
        <v>64400</v>
      </c>
      <c r="O114">
        <v>64400</v>
      </c>
      <c r="P114">
        <v>463.96</v>
      </c>
      <c r="Q114">
        <v>0</v>
      </c>
      <c r="R114">
        <v>25</v>
      </c>
      <c r="S114">
        <v>0</v>
      </c>
      <c r="T114">
        <v>0</v>
      </c>
      <c r="U114">
        <v>0</v>
      </c>
      <c r="X114">
        <v>31200</v>
      </c>
      <c r="Y114">
        <v>0</v>
      </c>
      <c r="AA114">
        <v>0</v>
      </c>
      <c r="AB114">
        <v>0</v>
      </c>
      <c r="AC114">
        <v>28.44444444444445</v>
      </c>
      <c r="AE114">
        <v>4</v>
      </c>
      <c r="AF114">
        <v>52</v>
      </c>
      <c r="AI114">
        <v>0</v>
      </c>
      <c r="AJ114">
        <v>0</v>
      </c>
    </row>
    <row r="115" spans="1:36" x14ac:dyDescent="0.3">
      <c r="A115" t="s">
        <v>137</v>
      </c>
      <c r="B115" t="s">
        <v>634</v>
      </c>
      <c r="C115" t="s">
        <v>634</v>
      </c>
      <c r="D115">
        <v>92289.02</v>
      </c>
      <c r="E115">
        <v>13865</v>
      </c>
      <c r="G115" t="s">
        <v>543</v>
      </c>
      <c r="H115">
        <v>90000</v>
      </c>
      <c r="I115">
        <v>90000</v>
      </c>
      <c r="J115">
        <v>80000</v>
      </c>
      <c r="K115">
        <v>0</v>
      </c>
      <c r="L115">
        <v>80000</v>
      </c>
      <c r="M115">
        <v>15999</v>
      </c>
      <c r="N115">
        <v>64000</v>
      </c>
      <c r="O115">
        <v>64000</v>
      </c>
      <c r="P115">
        <v>527.75</v>
      </c>
      <c r="Q115">
        <v>0</v>
      </c>
      <c r="R115">
        <v>25</v>
      </c>
      <c r="S115">
        <v>0</v>
      </c>
      <c r="T115">
        <v>0</v>
      </c>
      <c r="U115">
        <v>0</v>
      </c>
      <c r="X115">
        <v>22728</v>
      </c>
      <c r="Y115">
        <v>0</v>
      </c>
      <c r="AA115">
        <v>0</v>
      </c>
      <c r="AB115">
        <v>0</v>
      </c>
      <c r="AC115">
        <v>28.888888888888889</v>
      </c>
      <c r="AE115">
        <v>1</v>
      </c>
      <c r="AF115">
        <v>54</v>
      </c>
      <c r="AI115">
        <v>0</v>
      </c>
      <c r="AJ115">
        <v>0</v>
      </c>
    </row>
    <row r="116" spans="1:36" x14ac:dyDescent="0.3">
      <c r="A116" t="s">
        <v>138</v>
      </c>
      <c r="B116" t="s">
        <v>635</v>
      </c>
      <c r="C116" t="s">
        <v>636</v>
      </c>
      <c r="D116">
        <v>109878.12</v>
      </c>
      <c r="E116">
        <v>70406.040000000008</v>
      </c>
      <c r="G116" t="s">
        <v>543</v>
      </c>
      <c r="H116">
        <v>97000</v>
      </c>
      <c r="I116">
        <v>121000</v>
      </c>
      <c r="J116">
        <v>97000</v>
      </c>
      <c r="K116">
        <v>0</v>
      </c>
      <c r="L116">
        <v>97000</v>
      </c>
      <c r="M116">
        <v>0</v>
      </c>
      <c r="N116">
        <v>77600</v>
      </c>
      <c r="O116">
        <v>77600</v>
      </c>
      <c r="P116">
        <v>602</v>
      </c>
      <c r="Q116">
        <v>0</v>
      </c>
      <c r="R116">
        <v>75</v>
      </c>
      <c r="S116">
        <v>0</v>
      </c>
      <c r="T116">
        <v>0</v>
      </c>
      <c r="U116">
        <v>0</v>
      </c>
      <c r="X116">
        <v>34320</v>
      </c>
      <c r="Y116">
        <v>0</v>
      </c>
      <c r="AA116">
        <v>0</v>
      </c>
      <c r="AB116">
        <v>0</v>
      </c>
      <c r="AC116">
        <v>35.867768595041333</v>
      </c>
      <c r="AE116">
        <v>3</v>
      </c>
      <c r="AF116">
        <v>68</v>
      </c>
      <c r="AI116">
        <v>0</v>
      </c>
      <c r="AJ116">
        <v>0</v>
      </c>
    </row>
    <row r="117" spans="1:36" x14ac:dyDescent="0.3">
      <c r="A117" t="s">
        <v>139</v>
      </c>
      <c r="B117" t="s">
        <v>551</v>
      </c>
      <c r="C117" t="s">
        <v>637</v>
      </c>
      <c r="D117">
        <v>0</v>
      </c>
      <c r="E117">
        <v>0</v>
      </c>
      <c r="H117">
        <v>0</v>
      </c>
      <c r="I117">
        <v>287421</v>
      </c>
      <c r="J117">
        <v>0</v>
      </c>
      <c r="K117">
        <v>0</v>
      </c>
      <c r="L117">
        <v>287421</v>
      </c>
      <c r="M117">
        <v>87421</v>
      </c>
      <c r="N117">
        <v>200000</v>
      </c>
      <c r="O117">
        <v>150000</v>
      </c>
      <c r="P117">
        <v>972.9</v>
      </c>
      <c r="Q117">
        <v>302.82</v>
      </c>
      <c r="R117">
        <v>30</v>
      </c>
      <c r="S117">
        <v>6.7500000000000004E-2</v>
      </c>
      <c r="T117">
        <v>0</v>
      </c>
      <c r="U117">
        <v>0</v>
      </c>
      <c r="X117">
        <v>43000</v>
      </c>
      <c r="Y117">
        <v>0</v>
      </c>
      <c r="AA117">
        <v>0</v>
      </c>
      <c r="AB117">
        <v>0</v>
      </c>
      <c r="AC117">
        <v>30.41566204278741</v>
      </c>
      <c r="AE117">
        <v>4</v>
      </c>
      <c r="AF117">
        <v>66.2</v>
      </c>
      <c r="AI117">
        <v>0</v>
      </c>
      <c r="AJ117">
        <v>0</v>
      </c>
    </row>
    <row r="118" spans="1:36" x14ac:dyDescent="0.3">
      <c r="A118" t="s">
        <v>140</v>
      </c>
      <c r="B118" t="s">
        <v>638</v>
      </c>
      <c r="C118" t="s">
        <v>639</v>
      </c>
      <c r="D118">
        <v>84150</v>
      </c>
      <c r="E118">
        <v>79894.789999999994</v>
      </c>
      <c r="G118" t="s">
        <v>543</v>
      </c>
      <c r="H118">
        <v>105000</v>
      </c>
      <c r="I118">
        <v>130500</v>
      </c>
      <c r="J118">
        <v>105500</v>
      </c>
      <c r="K118">
        <v>0</v>
      </c>
      <c r="L118">
        <v>105500</v>
      </c>
      <c r="M118">
        <v>21100</v>
      </c>
      <c r="N118">
        <v>84400</v>
      </c>
      <c r="O118">
        <v>84400</v>
      </c>
      <c r="P118">
        <v>446.66</v>
      </c>
      <c r="Q118">
        <v>142.34</v>
      </c>
      <c r="R118">
        <v>75</v>
      </c>
      <c r="S118">
        <v>4.8750000000000002E-2</v>
      </c>
      <c r="T118">
        <v>0</v>
      </c>
      <c r="U118">
        <v>0</v>
      </c>
      <c r="X118">
        <v>29193.85</v>
      </c>
      <c r="Y118">
        <v>0</v>
      </c>
      <c r="AA118">
        <v>0</v>
      </c>
      <c r="AB118">
        <v>0</v>
      </c>
      <c r="AC118">
        <v>35.325670498084293</v>
      </c>
      <c r="AE118">
        <v>3</v>
      </c>
      <c r="AF118">
        <v>57</v>
      </c>
      <c r="AI118">
        <v>0</v>
      </c>
      <c r="AJ118">
        <v>0</v>
      </c>
    </row>
    <row r="119" spans="1:36" x14ac:dyDescent="0.3">
      <c r="A119" t="s">
        <v>141</v>
      </c>
      <c r="B119" t="s">
        <v>551</v>
      </c>
      <c r="C119" t="s">
        <v>540</v>
      </c>
      <c r="D119">
        <v>0</v>
      </c>
      <c r="E119">
        <v>0</v>
      </c>
      <c r="H119">
        <v>0</v>
      </c>
      <c r="I119">
        <v>283000</v>
      </c>
      <c r="J119">
        <v>275421</v>
      </c>
      <c r="K119">
        <v>0</v>
      </c>
      <c r="L119">
        <v>275421</v>
      </c>
      <c r="M119">
        <v>88421</v>
      </c>
      <c r="N119">
        <v>187000</v>
      </c>
      <c r="O119">
        <v>150000</v>
      </c>
      <c r="P119">
        <v>997.95</v>
      </c>
      <c r="Q119">
        <v>253.92</v>
      </c>
      <c r="R119">
        <v>30</v>
      </c>
      <c r="S119">
        <v>7.0000000000000007E-2</v>
      </c>
      <c r="T119">
        <v>0</v>
      </c>
      <c r="U119">
        <v>0</v>
      </c>
      <c r="X119">
        <v>45493</v>
      </c>
      <c r="Y119">
        <v>0</v>
      </c>
      <c r="AA119">
        <v>0</v>
      </c>
      <c r="AB119">
        <v>0</v>
      </c>
      <c r="AC119">
        <v>33.922261484098939</v>
      </c>
      <c r="AE119">
        <v>1</v>
      </c>
      <c r="AF119">
        <v>79.900000000000006</v>
      </c>
      <c r="AI119">
        <v>0</v>
      </c>
      <c r="AJ119">
        <v>0</v>
      </c>
    </row>
    <row r="120" spans="1:36" x14ac:dyDescent="0.3">
      <c r="A120" t="s">
        <v>142</v>
      </c>
      <c r="B120" t="s">
        <v>640</v>
      </c>
      <c r="C120" t="s">
        <v>640</v>
      </c>
      <c r="D120">
        <v>80349.759999999995</v>
      </c>
      <c r="E120">
        <v>43545.46</v>
      </c>
      <c r="G120" t="s">
        <v>543</v>
      </c>
      <c r="H120">
        <v>123000</v>
      </c>
      <c r="I120">
        <v>93200</v>
      </c>
      <c r="J120">
        <v>85000</v>
      </c>
      <c r="K120">
        <v>0</v>
      </c>
      <c r="L120">
        <v>85000</v>
      </c>
      <c r="M120">
        <v>10000</v>
      </c>
      <c r="N120">
        <v>75000</v>
      </c>
      <c r="O120">
        <v>75000</v>
      </c>
      <c r="P120">
        <v>575.17999999999995</v>
      </c>
      <c r="Q120">
        <v>0</v>
      </c>
      <c r="R120">
        <v>25</v>
      </c>
      <c r="S120">
        <v>0</v>
      </c>
      <c r="T120">
        <v>0</v>
      </c>
      <c r="U120">
        <v>0</v>
      </c>
      <c r="X120">
        <v>32218.93</v>
      </c>
      <c r="Y120">
        <v>0</v>
      </c>
      <c r="AA120">
        <v>0</v>
      </c>
      <c r="AB120">
        <v>0</v>
      </c>
      <c r="AC120">
        <v>19.527896995708151</v>
      </c>
      <c r="AE120">
        <v>2</v>
      </c>
      <c r="AF120">
        <v>68</v>
      </c>
      <c r="AI120">
        <v>0</v>
      </c>
      <c r="AJ120">
        <v>0</v>
      </c>
    </row>
    <row r="121" spans="1:36" x14ac:dyDescent="0.3">
      <c r="A121" t="s">
        <v>142</v>
      </c>
      <c r="B121" t="s">
        <v>640</v>
      </c>
      <c r="C121" t="s">
        <v>641</v>
      </c>
      <c r="D121">
        <v>120000</v>
      </c>
      <c r="E121">
        <v>0</v>
      </c>
      <c r="H121">
        <v>150000</v>
      </c>
      <c r="I121">
        <v>165000</v>
      </c>
      <c r="J121">
        <v>152000</v>
      </c>
      <c r="K121">
        <v>0</v>
      </c>
      <c r="L121">
        <v>152000</v>
      </c>
      <c r="M121">
        <v>32000</v>
      </c>
      <c r="N121">
        <v>120000</v>
      </c>
      <c r="O121">
        <v>120000</v>
      </c>
      <c r="P121">
        <v>599</v>
      </c>
      <c r="Q121">
        <v>166</v>
      </c>
      <c r="R121">
        <v>30</v>
      </c>
      <c r="S121">
        <v>4.3749999999999997E-2</v>
      </c>
      <c r="T121">
        <v>0</v>
      </c>
      <c r="U121">
        <v>0</v>
      </c>
      <c r="X121">
        <v>32218.93</v>
      </c>
      <c r="Y121">
        <v>0</v>
      </c>
      <c r="AA121">
        <v>6.6337999999999999</v>
      </c>
      <c r="AB121">
        <v>0</v>
      </c>
      <c r="AC121">
        <v>27.27272727272727</v>
      </c>
      <c r="AE121">
        <v>2</v>
      </c>
      <c r="AF121">
        <v>68</v>
      </c>
      <c r="AI121">
        <v>0</v>
      </c>
      <c r="AJ121">
        <v>0</v>
      </c>
    </row>
    <row r="122" spans="1:36" x14ac:dyDescent="0.3">
      <c r="A122" t="s">
        <v>143</v>
      </c>
      <c r="X122">
        <v>0</v>
      </c>
      <c r="AE122">
        <v>0</v>
      </c>
      <c r="AF122">
        <v>0</v>
      </c>
    </row>
    <row r="123" spans="1:36" x14ac:dyDescent="0.3">
      <c r="A123" t="s">
        <v>144</v>
      </c>
      <c r="B123" t="s">
        <v>589</v>
      </c>
      <c r="C123" t="s">
        <v>642</v>
      </c>
      <c r="D123">
        <v>85000</v>
      </c>
      <c r="E123">
        <v>29196.84</v>
      </c>
      <c r="G123" t="s">
        <v>543</v>
      </c>
      <c r="H123">
        <v>110000</v>
      </c>
      <c r="I123">
        <v>103000</v>
      </c>
      <c r="J123">
        <v>93000</v>
      </c>
      <c r="K123">
        <v>0</v>
      </c>
      <c r="L123">
        <v>93000</v>
      </c>
      <c r="M123">
        <v>18600</v>
      </c>
      <c r="N123">
        <v>74400</v>
      </c>
      <c r="O123">
        <v>74400</v>
      </c>
      <c r="P123">
        <v>477</v>
      </c>
      <c r="Q123">
        <v>0</v>
      </c>
      <c r="R123">
        <v>25</v>
      </c>
      <c r="S123">
        <v>0</v>
      </c>
      <c r="T123">
        <v>0</v>
      </c>
      <c r="U123">
        <v>0</v>
      </c>
      <c r="X123">
        <v>27350</v>
      </c>
      <c r="Y123">
        <v>0</v>
      </c>
      <c r="AA123">
        <v>0</v>
      </c>
      <c r="AB123">
        <v>0</v>
      </c>
      <c r="AC123">
        <v>27.76699029126214</v>
      </c>
      <c r="AE123">
        <v>1</v>
      </c>
      <c r="AF123">
        <v>65</v>
      </c>
      <c r="AI123">
        <v>0</v>
      </c>
      <c r="AJ123">
        <v>0</v>
      </c>
    </row>
    <row r="124" spans="1:36" x14ac:dyDescent="0.3">
      <c r="A124" t="s">
        <v>144</v>
      </c>
      <c r="B124" t="s">
        <v>589</v>
      </c>
      <c r="C124" t="s">
        <v>643</v>
      </c>
      <c r="D124">
        <v>0</v>
      </c>
      <c r="E124">
        <v>0</v>
      </c>
      <c r="H124">
        <v>166000</v>
      </c>
      <c r="I124">
        <v>171000</v>
      </c>
      <c r="J124">
        <v>157000</v>
      </c>
      <c r="K124">
        <v>0</v>
      </c>
      <c r="L124">
        <v>157000</v>
      </c>
      <c r="M124">
        <v>45000</v>
      </c>
      <c r="N124">
        <v>112000</v>
      </c>
      <c r="O124">
        <v>112000</v>
      </c>
      <c r="P124">
        <v>567.49</v>
      </c>
      <c r="Q124">
        <v>157.02000000000001</v>
      </c>
      <c r="R124">
        <v>30</v>
      </c>
      <c r="S124">
        <v>4.4999999999999998E-2</v>
      </c>
      <c r="T124">
        <v>0</v>
      </c>
      <c r="U124">
        <v>0</v>
      </c>
      <c r="X124">
        <v>27350</v>
      </c>
      <c r="Y124">
        <v>0</v>
      </c>
      <c r="AA124">
        <v>8.0109999999999992</v>
      </c>
      <c r="AB124">
        <v>0</v>
      </c>
      <c r="AC124">
        <v>34.502923976608187</v>
      </c>
      <c r="AE124">
        <v>1</v>
      </c>
      <c r="AF124">
        <v>65</v>
      </c>
      <c r="AI124">
        <v>0</v>
      </c>
      <c r="AJ124">
        <v>0</v>
      </c>
    </row>
    <row r="125" spans="1:36" x14ac:dyDescent="0.3">
      <c r="A125" t="s">
        <v>145</v>
      </c>
      <c r="B125" t="s">
        <v>589</v>
      </c>
      <c r="C125" t="s">
        <v>644</v>
      </c>
      <c r="D125">
        <v>84150</v>
      </c>
      <c r="E125">
        <v>30153.32</v>
      </c>
      <c r="G125" t="s">
        <v>543</v>
      </c>
      <c r="H125">
        <v>85000</v>
      </c>
      <c r="I125">
        <v>85000</v>
      </c>
      <c r="J125">
        <v>75000</v>
      </c>
      <c r="K125">
        <v>0</v>
      </c>
      <c r="L125">
        <v>75000</v>
      </c>
      <c r="M125">
        <v>15000</v>
      </c>
      <c r="N125">
        <v>60000</v>
      </c>
      <c r="O125">
        <v>60000</v>
      </c>
      <c r="P125">
        <v>445.64</v>
      </c>
      <c r="Q125">
        <v>0</v>
      </c>
      <c r="R125">
        <v>25</v>
      </c>
      <c r="S125">
        <v>0</v>
      </c>
      <c r="T125">
        <v>0</v>
      </c>
      <c r="U125">
        <v>0</v>
      </c>
      <c r="X125">
        <v>25112.65</v>
      </c>
      <c r="Y125">
        <v>0</v>
      </c>
      <c r="AA125">
        <v>0</v>
      </c>
      <c r="AB125">
        <v>0</v>
      </c>
      <c r="AC125">
        <v>29.411764705882351</v>
      </c>
      <c r="AE125">
        <v>1</v>
      </c>
      <c r="AF125">
        <v>59</v>
      </c>
      <c r="AI125">
        <v>0</v>
      </c>
      <c r="AJ125">
        <v>0</v>
      </c>
    </row>
    <row r="126" spans="1:36" x14ac:dyDescent="0.3">
      <c r="A126" t="s">
        <v>146</v>
      </c>
      <c r="B126" t="s">
        <v>620</v>
      </c>
      <c r="C126" t="s">
        <v>566</v>
      </c>
      <c r="D126">
        <v>97179.04</v>
      </c>
      <c r="E126">
        <v>28577.78</v>
      </c>
      <c r="G126" t="s">
        <v>543</v>
      </c>
      <c r="H126">
        <v>105000</v>
      </c>
      <c r="I126">
        <v>115000</v>
      </c>
      <c r="J126">
        <v>106000</v>
      </c>
      <c r="K126">
        <v>0</v>
      </c>
      <c r="L126">
        <v>106000</v>
      </c>
      <c r="M126">
        <v>21200</v>
      </c>
      <c r="N126">
        <v>84800</v>
      </c>
      <c r="O126">
        <v>84800</v>
      </c>
      <c r="P126">
        <v>574</v>
      </c>
      <c r="Q126">
        <v>0</v>
      </c>
      <c r="R126">
        <v>25</v>
      </c>
      <c r="S126">
        <v>0</v>
      </c>
      <c r="T126">
        <v>0</v>
      </c>
      <c r="U126">
        <v>0</v>
      </c>
      <c r="X126">
        <v>31049.46</v>
      </c>
      <c r="Y126">
        <v>0</v>
      </c>
      <c r="AA126">
        <v>0</v>
      </c>
      <c r="AB126">
        <v>0</v>
      </c>
      <c r="AC126">
        <v>26.260869565217391</v>
      </c>
      <c r="AE126">
        <v>2</v>
      </c>
      <c r="AF126">
        <v>64</v>
      </c>
      <c r="AI126">
        <v>0</v>
      </c>
      <c r="AJ126">
        <v>0</v>
      </c>
    </row>
    <row r="127" spans="1:36" x14ac:dyDescent="0.3">
      <c r="A127" t="s">
        <v>147</v>
      </c>
      <c r="B127" t="s">
        <v>616</v>
      </c>
      <c r="C127" t="s">
        <v>645</v>
      </c>
      <c r="D127">
        <v>0</v>
      </c>
      <c r="E127">
        <v>0</v>
      </c>
      <c r="H127">
        <v>0</v>
      </c>
      <c r="I127">
        <v>270000</v>
      </c>
      <c r="J127">
        <v>262225</v>
      </c>
      <c r="K127">
        <v>0</v>
      </c>
      <c r="L127">
        <v>260000</v>
      </c>
      <c r="M127">
        <v>84000</v>
      </c>
      <c r="N127">
        <v>176000</v>
      </c>
      <c r="O127">
        <v>176000</v>
      </c>
      <c r="P127">
        <v>1245.72</v>
      </c>
      <c r="Q127">
        <v>240.09</v>
      </c>
      <c r="R127">
        <v>30</v>
      </c>
      <c r="S127">
        <v>7.6249999999999998E-2</v>
      </c>
      <c r="T127">
        <v>0</v>
      </c>
      <c r="U127">
        <v>0</v>
      </c>
      <c r="X127">
        <v>51683.4</v>
      </c>
      <c r="Y127">
        <v>0</v>
      </c>
      <c r="AA127">
        <v>0</v>
      </c>
      <c r="AB127">
        <v>0</v>
      </c>
      <c r="AC127">
        <v>34.81481481481481</v>
      </c>
      <c r="AE127">
        <v>2</v>
      </c>
      <c r="AF127">
        <v>79.739999999999995</v>
      </c>
      <c r="AI127">
        <v>0</v>
      </c>
      <c r="AJ127">
        <v>0</v>
      </c>
    </row>
    <row r="128" spans="1:36" x14ac:dyDescent="0.3">
      <c r="A128" t="s">
        <v>148</v>
      </c>
      <c r="B128" t="s">
        <v>548</v>
      </c>
      <c r="C128" t="s">
        <v>646</v>
      </c>
      <c r="D128">
        <v>104900</v>
      </c>
      <c r="E128">
        <v>70485.63</v>
      </c>
      <c r="G128" t="s">
        <v>543</v>
      </c>
      <c r="H128">
        <v>111000</v>
      </c>
      <c r="I128">
        <v>138000</v>
      </c>
      <c r="J128">
        <v>107500</v>
      </c>
      <c r="K128">
        <v>0</v>
      </c>
      <c r="L128">
        <v>107500</v>
      </c>
      <c r="M128">
        <v>21500</v>
      </c>
      <c r="N128">
        <v>86000</v>
      </c>
      <c r="O128">
        <v>86000</v>
      </c>
      <c r="P128">
        <v>515.62</v>
      </c>
      <c r="Q128">
        <v>185.68</v>
      </c>
      <c r="R128">
        <v>75</v>
      </c>
      <c r="S128">
        <v>0.06</v>
      </c>
      <c r="T128">
        <v>0</v>
      </c>
      <c r="U128">
        <v>0</v>
      </c>
      <c r="X128">
        <v>39115.51</v>
      </c>
      <c r="Y128">
        <v>0</v>
      </c>
      <c r="AA128">
        <v>0</v>
      </c>
      <c r="AB128">
        <v>0</v>
      </c>
      <c r="AC128">
        <v>37.681159420289859</v>
      </c>
      <c r="AE128">
        <v>3</v>
      </c>
      <c r="AF128">
        <v>73</v>
      </c>
      <c r="AI128">
        <v>0</v>
      </c>
      <c r="AJ128">
        <v>0</v>
      </c>
    </row>
    <row r="129" spans="1:36" x14ac:dyDescent="0.3">
      <c r="A129" t="s">
        <v>148</v>
      </c>
      <c r="B129" t="s">
        <v>548</v>
      </c>
      <c r="C129" t="s">
        <v>647</v>
      </c>
      <c r="D129">
        <v>0</v>
      </c>
      <c r="E129">
        <v>0</v>
      </c>
      <c r="H129">
        <v>140000</v>
      </c>
      <c r="I129">
        <v>165000</v>
      </c>
      <c r="J129">
        <v>134000</v>
      </c>
      <c r="K129">
        <v>0</v>
      </c>
      <c r="L129">
        <v>134000</v>
      </c>
      <c r="M129">
        <v>26800</v>
      </c>
      <c r="N129">
        <v>107200</v>
      </c>
      <c r="O129">
        <v>107200</v>
      </c>
      <c r="P129">
        <v>583.69000000000005</v>
      </c>
      <c r="Q129">
        <v>191</v>
      </c>
      <c r="R129">
        <v>75</v>
      </c>
      <c r="S129">
        <v>5.1249999999999997E-2</v>
      </c>
      <c r="T129">
        <v>0</v>
      </c>
      <c r="U129">
        <v>0</v>
      </c>
      <c r="X129">
        <v>39115.51</v>
      </c>
      <c r="Y129">
        <v>0</v>
      </c>
      <c r="AA129">
        <v>4.8268000000000004</v>
      </c>
      <c r="AB129">
        <v>0</v>
      </c>
      <c r="AC129">
        <v>35.030303030303031</v>
      </c>
      <c r="AE129">
        <v>3</v>
      </c>
      <c r="AF129">
        <v>73</v>
      </c>
      <c r="AI129">
        <v>0</v>
      </c>
      <c r="AJ129">
        <v>0</v>
      </c>
    </row>
    <row r="130" spans="1:36" x14ac:dyDescent="0.3">
      <c r="A130" t="s">
        <v>149</v>
      </c>
      <c r="B130" t="s">
        <v>648</v>
      </c>
      <c r="C130" t="s">
        <v>648</v>
      </c>
      <c r="D130">
        <v>101045.57</v>
      </c>
      <c r="E130">
        <v>9746</v>
      </c>
      <c r="G130" t="s">
        <v>543</v>
      </c>
      <c r="H130">
        <v>85000</v>
      </c>
      <c r="I130">
        <v>85000</v>
      </c>
      <c r="J130">
        <v>75500</v>
      </c>
      <c r="K130">
        <v>0</v>
      </c>
      <c r="L130">
        <v>75500</v>
      </c>
      <c r="M130">
        <v>15100</v>
      </c>
      <c r="N130">
        <v>60400</v>
      </c>
      <c r="O130">
        <v>60400</v>
      </c>
      <c r="P130">
        <v>480.53</v>
      </c>
      <c r="Q130">
        <v>0</v>
      </c>
      <c r="R130">
        <v>25</v>
      </c>
      <c r="S130">
        <v>0</v>
      </c>
      <c r="T130">
        <v>0</v>
      </c>
      <c r="U130">
        <v>0</v>
      </c>
      <c r="X130">
        <v>35578</v>
      </c>
      <c r="Y130">
        <v>0</v>
      </c>
      <c r="AA130">
        <v>0</v>
      </c>
      <c r="AB130">
        <v>0</v>
      </c>
      <c r="AC130">
        <v>28.941176470588239</v>
      </c>
      <c r="AE130">
        <v>3</v>
      </c>
      <c r="AF130">
        <v>66</v>
      </c>
      <c r="AI130">
        <v>0</v>
      </c>
      <c r="AJ130">
        <v>0</v>
      </c>
    </row>
    <row r="131" spans="1:36" x14ac:dyDescent="0.3">
      <c r="A131" t="s">
        <v>150</v>
      </c>
      <c r="B131" t="s">
        <v>604</v>
      </c>
      <c r="C131" t="s">
        <v>604</v>
      </c>
      <c r="D131">
        <v>103118.17</v>
      </c>
      <c r="E131">
        <v>71392.2</v>
      </c>
      <c r="G131" t="s">
        <v>543</v>
      </c>
      <c r="H131">
        <v>79500</v>
      </c>
      <c r="I131">
        <v>82000</v>
      </c>
      <c r="J131">
        <v>73000</v>
      </c>
      <c r="K131">
        <v>0</v>
      </c>
      <c r="L131">
        <v>73000</v>
      </c>
      <c r="M131">
        <v>14600</v>
      </c>
      <c r="N131">
        <v>58400</v>
      </c>
      <c r="O131">
        <v>58400</v>
      </c>
      <c r="P131">
        <v>391</v>
      </c>
      <c r="Q131">
        <v>0</v>
      </c>
      <c r="R131">
        <v>25</v>
      </c>
      <c r="S131">
        <v>0</v>
      </c>
      <c r="T131">
        <v>0</v>
      </c>
      <c r="U131">
        <v>0</v>
      </c>
      <c r="X131">
        <v>30186.67</v>
      </c>
      <c r="Y131">
        <v>0</v>
      </c>
      <c r="AA131">
        <v>0</v>
      </c>
      <c r="AB131">
        <v>0</v>
      </c>
      <c r="AC131">
        <v>28.780487804878049</v>
      </c>
      <c r="AE131">
        <v>4</v>
      </c>
      <c r="AF131">
        <v>49</v>
      </c>
      <c r="AI131">
        <v>0</v>
      </c>
      <c r="AJ131">
        <v>0</v>
      </c>
    </row>
    <row r="132" spans="1:36" x14ac:dyDescent="0.3">
      <c r="A132" t="s">
        <v>150</v>
      </c>
      <c r="B132" t="s">
        <v>604</v>
      </c>
      <c r="D132">
        <v>0</v>
      </c>
      <c r="E132">
        <v>0</v>
      </c>
      <c r="H132">
        <v>156250</v>
      </c>
      <c r="I132">
        <v>158500</v>
      </c>
      <c r="J132">
        <v>147000</v>
      </c>
      <c r="K132">
        <v>0</v>
      </c>
      <c r="L132">
        <v>147000</v>
      </c>
      <c r="M132">
        <v>29400</v>
      </c>
      <c r="N132">
        <v>117600</v>
      </c>
      <c r="O132">
        <v>117600</v>
      </c>
      <c r="P132">
        <v>613.46</v>
      </c>
      <c r="Q132">
        <v>185.07</v>
      </c>
      <c r="R132">
        <v>30</v>
      </c>
      <c r="S132">
        <v>4.7500000000000001E-2</v>
      </c>
      <c r="T132">
        <v>0</v>
      </c>
      <c r="U132">
        <v>0</v>
      </c>
      <c r="X132">
        <v>30186.67</v>
      </c>
      <c r="Y132">
        <v>0</v>
      </c>
      <c r="AA132">
        <v>5.9740000000000002</v>
      </c>
      <c r="AB132">
        <v>0</v>
      </c>
      <c r="AC132">
        <v>25.804416403785488</v>
      </c>
      <c r="AE132">
        <v>4</v>
      </c>
      <c r="AF132">
        <v>49</v>
      </c>
      <c r="AI132">
        <v>0</v>
      </c>
      <c r="AJ132">
        <v>0</v>
      </c>
    </row>
    <row r="133" spans="1:36" x14ac:dyDescent="0.3">
      <c r="A133" t="s">
        <v>151</v>
      </c>
      <c r="B133" t="s">
        <v>649</v>
      </c>
      <c r="C133" t="s">
        <v>650</v>
      </c>
      <c r="D133">
        <v>94050</v>
      </c>
      <c r="E133">
        <v>43352.92</v>
      </c>
      <c r="G133" t="s">
        <v>543</v>
      </c>
      <c r="H133">
        <v>109000</v>
      </c>
      <c r="I133">
        <v>139000</v>
      </c>
      <c r="J133">
        <v>112000</v>
      </c>
      <c r="K133">
        <v>0</v>
      </c>
      <c r="L133">
        <v>112000</v>
      </c>
      <c r="M133">
        <v>22400</v>
      </c>
      <c r="N133">
        <v>89600</v>
      </c>
      <c r="O133">
        <v>89600</v>
      </c>
      <c r="P133">
        <v>481</v>
      </c>
      <c r="Q133">
        <v>78</v>
      </c>
      <c r="R133">
        <v>75</v>
      </c>
      <c r="S133">
        <v>0.05</v>
      </c>
      <c r="T133">
        <v>0</v>
      </c>
      <c r="U133">
        <v>0</v>
      </c>
      <c r="X133">
        <v>42339.97</v>
      </c>
      <c r="Y133">
        <v>0</v>
      </c>
      <c r="AA133">
        <v>0</v>
      </c>
      <c r="AB133">
        <v>0</v>
      </c>
      <c r="AC133">
        <v>35.539568345323737</v>
      </c>
      <c r="AE133">
        <v>5</v>
      </c>
      <c r="AF133">
        <v>69</v>
      </c>
      <c r="AI133">
        <v>0</v>
      </c>
      <c r="AJ133">
        <v>0</v>
      </c>
    </row>
    <row r="134" spans="1:36" x14ac:dyDescent="0.3">
      <c r="A134" t="s">
        <v>151</v>
      </c>
      <c r="B134" t="s">
        <v>649</v>
      </c>
      <c r="C134" t="s">
        <v>651</v>
      </c>
      <c r="D134">
        <v>0</v>
      </c>
      <c r="E134">
        <v>0</v>
      </c>
      <c r="H134">
        <v>144000</v>
      </c>
      <c r="I134">
        <v>174000</v>
      </c>
      <c r="J134">
        <v>144000</v>
      </c>
      <c r="K134">
        <v>0</v>
      </c>
      <c r="L134">
        <v>144000</v>
      </c>
      <c r="M134">
        <v>28800</v>
      </c>
      <c r="N134">
        <v>115200</v>
      </c>
      <c r="O134">
        <v>115200</v>
      </c>
      <c r="P134">
        <v>592.29</v>
      </c>
      <c r="Q134">
        <v>198.71</v>
      </c>
      <c r="R134">
        <v>75</v>
      </c>
      <c r="S134">
        <v>4.6249999999999999E-2</v>
      </c>
      <c r="T134">
        <v>0</v>
      </c>
      <c r="U134">
        <v>0</v>
      </c>
      <c r="X134">
        <v>42339.97</v>
      </c>
      <c r="Y134">
        <v>0</v>
      </c>
      <c r="AA134">
        <v>5.4839000000000002</v>
      </c>
      <c r="AB134">
        <v>0</v>
      </c>
      <c r="AC134">
        <v>33.793103448275858</v>
      </c>
      <c r="AE134">
        <v>5</v>
      </c>
      <c r="AF134">
        <v>69</v>
      </c>
      <c r="AI134">
        <v>0</v>
      </c>
      <c r="AJ134">
        <v>0</v>
      </c>
    </row>
    <row r="135" spans="1:36" x14ac:dyDescent="0.3">
      <c r="A135" t="s">
        <v>152</v>
      </c>
      <c r="B135" t="s">
        <v>652</v>
      </c>
      <c r="C135" t="s">
        <v>653</v>
      </c>
      <c r="D135">
        <v>108900</v>
      </c>
      <c r="E135">
        <v>30344.7</v>
      </c>
      <c r="G135" t="s">
        <v>543</v>
      </c>
      <c r="H135">
        <v>100000</v>
      </c>
      <c r="I135">
        <v>127000</v>
      </c>
      <c r="J135">
        <v>100000</v>
      </c>
      <c r="K135">
        <v>0</v>
      </c>
      <c r="L135">
        <v>100000</v>
      </c>
      <c r="M135">
        <v>20000</v>
      </c>
      <c r="N135">
        <v>80000</v>
      </c>
      <c r="O135">
        <v>80000</v>
      </c>
      <c r="P135">
        <v>447.98</v>
      </c>
      <c r="Q135">
        <v>118.02</v>
      </c>
      <c r="R135">
        <v>75</v>
      </c>
      <c r="S135">
        <v>5.3749999999999999E-2</v>
      </c>
      <c r="T135">
        <v>0</v>
      </c>
      <c r="U135">
        <v>0</v>
      </c>
      <c r="X135">
        <v>30958.2</v>
      </c>
      <c r="Y135">
        <v>0</v>
      </c>
      <c r="AA135">
        <v>0</v>
      </c>
      <c r="AB135">
        <v>0</v>
      </c>
      <c r="AC135">
        <v>37.00787401574803</v>
      </c>
      <c r="AE135">
        <v>3</v>
      </c>
      <c r="AF135">
        <v>60</v>
      </c>
      <c r="AI135">
        <v>0</v>
      </c>
      <c r="AJ135">
        <v>0</v>
      </c>
    </row>
    <row r="136" spans="1:36" x14ac:dyDescent="0.3">
      <c r="A136" t="s">
        <v>152</v>
      </c>
      <c r="B136" t="s">
        <v>652</v>
      </c>
      <c r="C136" t="s">
        <v>654</v>
      </c>
      <c r="D136">
        <v>0</v>
      </c>
      <c r="E136">
        <v>0</v>
      </c>
      <c r="H136">
        <v>105000</v>
      </c>
      <c r="I136">
        <v>134000</v>
      </c>
      <c r="J136">
        <v>111500</v>
      </c>
      <c r="K136">
        <v>0</v>
      </c>
      <c r="L136">
        <v>111500</v>
      </c>
      <c r="M136">
        <v>22300</v>
      </c>
      <c r="N136">
        <v>89200</v>
      </c>
      <c r="O136">
        <v>89200</v>
      </c>
      <c r="P136">
        <v>445.37</v>
      </c>
      <c r="Q136">
        <v>113.22</v>
      </c>
      <c r="R136">
        <v>75</v>
      </c>
      <c r="S136">
        <v>4.3749999999999997E-2</v>
      </c>
      <c r="T136">
        <v>0</v>
      </c>
      <c r="U136">
        <v>0</v>
      </c>
      <c r="X136">
        <v>30958.2</v>
      </c>
      <c r="Y136">
        <v>0</v>
      </c>
      <c r="AA136">
        <v>3.8521999999999998</v>
      </c>
      <c r="AB136">
        <v>0</v>
      </c>
      <c r="AC136">
        <v>33.432835820895527</v>
      </c>
      <c r="AE136">
        <v>3</v>
      </c>
      <c r="AF136">
        <v>60</v>
      </c>
      <c r="AI136">
        <v>0</v>
      </c>
      <c r="AJ136">
        <v>0</v>
      </c>
    </row>
    <row r="137" spans="1:36" x14ac:dyDescent="0.3">
      <c r="A137" t="s">
        <v>153</v>
      </c>
      <c r="B137" t="s">
        <v>655</v>
      </c>
      <c r="C137" t="s">
        <v>655</v>
      </c>
      <c r="D137">
        <v>130085.16</v>
      </c>
      <c r="E137">
        <v>11201.13</v>
      </c>
      <c r="G137" t="s">
        <v>543</v>
      </c>
      <c r="H137">
        <v>141286</v>
      </c>
      <c r="I137">
        <v>124000</v>
      </c>
      <c r="J137">
        <v>124000</v>
      </c>
      <c r="K137">
        <v>0</v>
      </c>
      <c r="L137">
        <v>124000</v>
      </c>
      <c r="M137">
        <v>54703</v>
      </c>
      <c r="N137">
        <v>69297</v>
      </c>
      <c r="O137">
        <v>69297</v>
      </c>
      <c r="P137">
        <v>575.91999999999996</v>
      </c>
      <c r="Q137">
        <v>0</v>
      </c>
      <c r="R137">
        <v>25</v>
      </c>
      <c r="S137">
        <v>0</v>
      </c>
      <c r="T137">
        <v>0</v>
      </c>
      <c r="U137">
        <v>0</v>
      </c>
      <c r="X137">
        <v>29727</v>
      </c>
      <c r="Y137">
        <v>0</v>
      </c>
      <c r="AA137">
        <v>0</v>
      </c>
      <c r="AB137">
        <v>0</v>
      </c>
      <c r="AC137">
        <v>44.11532258064517</v>
      </c>
      <c r="AE137">
        <v>2</v>
      </c>
      <c r="AF137">
        <v>50</v>
      </c>
      <c r="AI137">
        <v>0</v>
      </c>
      <c r="AJ137">
        <v>0</v>
      </c>
    </row>
    <row r="138" spans="1:36" x14ac:dyDescent="0.3">
      <c r="A138" t="s">
        <v>154</v>
      </c>
      <c r="B138" t="s">
        <v>656</v>
      </c>
      <c r="C138" t="s">
        <v>656</v>
      </c>
      <c r="D138">
        <v>103118.17</v>
      </c>
      <c r="E138">
        <v>71389.72</v>
      </c>
      <c r="G138" t="s">
        <v>543</v>
      </c>
      <c r="H138">
        <v>85000</v>
      </c>
      <c r="I138">
        <v>90000</v>
      </c>
      <c r="J138">
        <v>80000</v>
      </c>
      <c r="K138">
        <v>0</v>
      </c>
      <c r="L138">
        <v>80000</v>
      </c>
      <c r="M138">
        <v>0</v>
      </c>
      <c r="N138">
        <v>64000</v>
      </c>
      <c r="O138">
        <v>64000</v>
      </c>
      <c r="P138">
        <v>548.58000000000004</v>
      </c>
      <c r="Q138">
        <v>0</v>
      </c>
      <c r="R138">
        <v>25</v>
      </c>
      <c r="S138">
        <v>0</v>
      </c>
      <c r="T138">
        <v>0</v>
      </c>
      <c r="U138">
        <v>0</v>
      </c>
      <c r="X138">
        <v>31497</v>
      </c>
      <c r="Y138">
        <v>0</v>
      </c>
      <c r="AA138">
        <v>0</v>
      </c>
      <c r="AB138">
        <v>0</v>
      </c>
      <c r="AC138">
        <v>28.888888888888889</v>
      </c>
      <c r="AE138">
        <v>3</v>
      </c>
      <c r="AF138">
        <v>57</v>
      </c>
      <c r="AI138">
        <v>0</v>
      </c>
      <c r="AJ138">
        <v>0</v>
      </c>
    </row>
    <row r="139" spans="1:36" x14ac:dyDescent="0.3">
      <c r="A139" t="s">
        <v>155</v>
      </c>
      <c r="B139" t="s">
        <v>657</v>
      </c>
      <c r="C139" t="s">
        <v>623</v>
      </c>
      <c r="D139">
        <v>86024.83</v>
      </c>
      <c r="E139">
        <v>29608.03</v>
      </c>
      <c r="G139" t="s">
        <v>543</v>
      </c>
      <c r="H139">
        <v>117000</v>
      </c>
      <c r="I139">
        <v>123000</v>
      </c>
      <c r="J139">
        <v>112900</v>
      </c>
      <c r="K139">
        <v>0</v>
      </c>
      <c r="L139">
        <v>106500</v>
      </c>
      <c r="M139">
        <v>0</v>
      </c>
      <c r="N139">
        <v>90320</v>
      </c>
      <c r="O139">
        <v>90320</v>
      </c>
      <c r="P139">
        <v>587</v>
      </c>
      <c r="Q139">
        <v>0</v>
      </c>
      <c r="R139">
        <v>25</v>
      </c>
      <c r="S139">
        <v>0</v>
      </c>
      <c r="T139">
        <v>0</v>
      </c>
      <c r="U139">
        <v>0</v>
      </c>
      <c r="X139">
        <v>27555.759999999998</v>
      </c>
      <c r="Y139">
        <v>0</v>
      </c>
      <c r="AA139">
        <v>0</v>
      </c>
      <c r="AB139">
        <v>0</v>
      </c>
      <c r="AC139">
        <v>26.569105691056919</v>
      </c>
      <c r="AE139">
        <v>3</v>
      </c>
      <c r="AF139">
        <v>51</v>
      </c>
      <c r="AI139">
        <v>0</v>
      </c>
      <c r="AJ139">
        <v>0</v>
      </c>
    </row>
    <row r="140" spans="1:36" x14ac:dyDescent="0.3">
      <c r="A140" t="s">
        <v>156</v>
      </c>
      <c r="B140" t="s">
        <v>658</v>
      </c>
      <c r="C140" t="s">
        <v>658</v>
      </c>
      <c r="D140">
        <v>108000</v>
      </c>
      <c r="E140">
        <v>20688.88</v>
      </c>
      <c r="G140" t="s">
        <v>543</v>
      </c>
      <c r="H140">
        <v>119900</v>
      </c>
      <c r="I140">
        <v>116000</v>
      </c>
      <c r="J140">
        <v>106500</v>
      </c>
      <c r="K140">
        <v>0</v>
      </c>
      <c r="L140">
        <v>106500</v>
      </c>
      <c r="M140">
        <v>21300</v>
      </c>
      <c r="N140">
        <v>85200</v>
      </c>
      <c r="O140">
        <v>85200</v>
      </c>
      <c r="P140">
        <v>511.83</v>
      </c>
      <c r="Q140">
        <v>0</v>
      </c>
      <c r="R140">
        <v>25</v>
      </c>
      <c r="S140">
        <v>0</v>
      </c>
      <c r="T140">
        <v>0</v>
      </c>
      <c r="U140">
        <v>0</v>
      </c>
      <c r="X140">
        <v>34834.800000000003</v>
      </c>
      <c r="Y140">
        <v>0</v>
      </c>
      <c r="AA140">
        <v>0</v>
      </c>
      <c r="AB140">
        <v>0</v>
      </c>
      <c r="AC140">
        <v>26.551724137931028</v>
      </c>
      <c r="AE140">
        <v>4</v>
      </c>
      <c r="AF140">
        <v>58</v>
      </c>
      <c r="AI140">
        <v>0</v>
      </c>
      <c r="AJ140">
        <v>0</v>
      </c>
    </row>
    <row r="141" spans="1:36" x14ac:dyDescent="0.3">
      <c r="A141" t="s">
        <v>157</v>
      </c>
      <c r="B141" t="s">
        <v>635</v>
      </c>
      <c r="C141" t="s">
        <v>659</v>
      </c>
      <c r="D141">
        <v>99992</v>
      </c>
      <c r="E141">
        <v>40254.97</v>
      </c>
      <c r="G141" t="s">
        <v>543</v>
      </c>
      <c r="H141">
        <v>100000</v>
      </c>
      <c r="I141">
        <v>120000</v>
      </c>
      <c r="J141">
        <v>96000</v>
      </c>
      <c r="K141">
        <v>0</v>
      </c>
      <c r="L141">
        <v>96000</v>
      </c>
      <c r="M141">
        <v>19200</v>
      </c>
      <c r="N141">
        <v>76800</v>
      </c>
      <c r="O141">
        <v>76800</v>
      </c>
      <c r="P141">
        <v>484</v>
      </c>
      <c r="Q141">
        <v>0</v>
      </c>
      <c r="R141">
        <v>75</v>
      </c>
      <c r="S141">
        <v>0</v>
      </c>
      <c r="T141">
        <v>0</v>
      </c>
      <c r="U141">
        <v>0</v>
      </c>
      <c r="X141">
        <v>28295.88</v>
      </c>
      <c r="Y141">
        <v>0</v>
      </c>
      <c r="AA141">
        <v>0</v>
      </c>
      <c r="AB141">
        <v>0</v>
      </c>
      <c r="AC141">
        <v>36</v>
      </c>
      <c r="AE141">
        <v>3</v>
      </c>
      <c r="AF141">
        <v>52</v>
      </c>
      <c r="AI141">
        <v>0</v>
      </c>
      <c r="AJ141">
        <v>0</v>
      </c>
    </row>
    <row r="142" spans="1:36" x14ac:dyDescent="0.3">
      <c r="A142" t="s">
        <v>157</v>
      </c>
      <c r="B142" t="s">
        <v>635</v>
      </c>
      <c r="C142" t="s">
        <v>660</v>
      </c>
      <c r="D142">
        <v>0</v>
      </c>
      <c r="E142">
        <v>0</v>
      </c>
      <c r="H142">
        <v>0</v>
      </c>
      <c r="I142">
        <v>265000</v>
      </c>
      <c r="J142">
        <v>240000</v>
      </c>
      <c r="K142">
        <v>0</v>
      </c>
      <c r="L142">
        <v>240000</v>
      </c>
      <c r="M142">
        <v>110000</v>
      </c>
      <c r="N142">
        <v>130000</v>
      </c>
      <c r="O142">
        <v>106000</v>
      </c>
      <c r="P142">
        <v>644.07000000000005</v>
      </c>
      <c r="Q142">
        <v>151.68</v>
      </c>
      <c r="R142">
        <v>75</v>
      </c>
      <c r="S142">
        <v>6.1249999999999999E-2</v>
      </c>
      <c r="T142">
        <v>0</v>
      </c>
      <c r="U142">
        <v>0</v>
      </c>
      <c r="X142">
        <v>55640</v>
      </c>
      <c r="Y142">
        <v>0</v>
      </c>
      <c r="AA142">
        <v>10.2752</v>
      </c>
      <c r="AB142">
        <v>0</v>
      </c>
      <c r="AC142">
        <v>50.943396226415103</v>
      </c>
      <c r="AE142">
        <v>4</v>
      </c>
      <c r="AF142">
        <v>60</v>
      </c>
      <c r="AI142">
        <v>0</v>
      </c>
      <c r="AJ142">
        <v>0</v>
      </c>
    </row>
    <row r="143" spans="1:36" x14ac:dyDescent="0.3">
      <c r="A143" t="s">
        <v>158</v>
      </c>
      <c r="B143" t="s">
        <v>661</v>
      </c>
      <c r="C143" t="s">
        <v>662</v>
      </c>
      <c r="D143">
        <v>0</v>
      </c>
      <c r="E143">
        <v>0</v>
      </c>
      <c r="H143">
        <v>120000</v>
      </c>
      <c r="I143">
        <v>148000</v>
      </c>
      <c r="J143">
        <v>121000</v>
      </c>
      <c r="K143">
        <v>0</v>
      </c>
      <c r="L143">
        <v>121000</v>
      </c>
      <c r="M143">
        <v>25000</v>
      </c>
      <c r="N143">
        <v>96000</v>
      </c>
      <c r="O143">
        <v>96000</v>
      </c>
      <c r="P143">
        <v>515.35</v>
      </c>
      <c r="Q143">
        <v>131.71</v>
      </c>
      <c r="R143">
        <v>75</v>
      </c>
      <c r="S143">
        <v>0.05</v>
      </c>
      <c r="T143">
        <v>0</v>
      </c>
      <c r="U143">
        <v>0</v>
      </c>
      <c r="X143">
        <v>39352.19</v>
      </c>
      <c r="Y143">
        <v>0</v>
      </c>
      <c r="AA143">
        <v>5.9439000000000002</v>
      </c>
      <c r="AB143">
        <v>0</v>
      </c>
      <c r="AC143">
        <v>35.13513513513513</v>
      </c>
      <c r="AE143">
        <v>4</v>
      </c>
      <c r="AF143">
        <v>65</v>
      </c>
      <c r="AI143">
        <v>0</v>
      </c>
      <c r="AJ143">
        <v>0</v>
      </c>
    </row>
    <row r="144" spans="1:36" x14ac:dyDescent="0.3">
      <c r="A144" t="s">
        <v>159</v>
      </c>
      <c r="B144" t="s">
        <v>663</v>
      </c>
      <c r="C144" t="s">
        <v>664</v>
      </c>
      <c r="D144">
        <v>90819.65</v>
      </c>
      <c r="E144">
        <v>22493.21</v>
      </c>
      <c r="G144" t="s">
        <v>543</v>
      </c>
      <c r="H144">
        <v>91500</v>
      </c>
      <c r="I144">
        <v>95000</v>
      </c>
      <c r="J144">
        <v>95000</v>
      </c>
      <c r="K144">
        <v>0</v>
      </c>
      <c r="L144">
        <v>95000</v>
      </c>
      <c r="M144">
        <v>19000</v>
      </c>
      <c r="N144">
        <v>76000</v>
      </c>
      <c r="O144">
        <v>76000</v>
      </c>
      <c r="P144">
        <v>575</v>
      </c>
      <c r="Q144">
        <v>0</v>
      </c>
      <c r="R144">
        <v>25</v>
      </c>
      <c r="S144">
        <v>0</v>
      </c>
      <c r="T144">
        <v>0</v>
      </c>
      <c r="U144">
        <v>0</v>
      </c>
      <c r="X144">
        <v>39650</v>
      </c>
      <c r="Y144">
        <v>0</v>
      </c>
      <c r="AA144">
        <v>0</v>
      </c>
      <c r="AB144">
        <v>0</v>
      </c>
      <c r="AC144">
        <v>20</v>
      </c>
      <c r="AE144">
        <v>4</v>
      </c>
      <c r="AF144">
        <v>42</v>
      </c>
      <c r="AI144">
        <v>0</v>
      </c>
      <c r="AJ144">
        <v>0</v>
      </c>
    </row>
    <row r="145" spans="1:36" x14ac:dyDescent="0.3">
      <c r="A145" t="s">
        <v>159</v>
      </c>
      <c r="B145" t="s">
        <v>665</v>
      </c>
      <c r="X145">
        <v>39650</v>
      </c>
      <c r="AE145">
        <v>4</v>
      </c>
      <c r="AF145">
        <v>42</v>
      </c>
    </row>
    <row r="146" spans="1:36" x14ac:dyDescent="0.3">
      <c r="A146" t="s">
        <v>160</v>
      </c>
      <c r="B146" t="s">
        <v>661</v>
      </c>
      <c r="C146" t="s">
        <v>666</v>
      </c>
      <c r="D146">
        <v>60760</v>
      </c>
      <c r="E146">
        <v>90604.7</v>
      </c>
      <c r="G146" t="s">
        <v>543</v>
      </c>
      <c r="H146">
        <v>67000</v>
      </c>
      <c r="I146">
        <v>91000</v>
      </c>
      <c r="J146">
        <v>67000</v>
      </c>
      <c r="K146">
        <v>0</v>
      </c>
      <c r="L146">
        <v>67000</v>
      </c>
      <c r="M146">
        <v>13400</v>
      </c>
      <c r="N146">
        <v>53600</v>
      </c>
      <c r="O146">
        <v>53600</v>
      </c>
      <c r="P146">
        <v>252.05</v>
      </c>
      <c r="Q146">
        <v>100.95</v>
      </c>
      <c r="R146">
        <v>75</v>
      </c>
      <c r="S146">
        <v>3.875E-2</v>
      </c>
      <c r="T146">
        <v>0</v>
      </c>
      <c r="U146">
        <v>0</v>
      </c>
      <c r="X146">
        <v>29302.44</v>
      </c>
      <c r="Y146">
        <v>0</v>
      </c>
      <c r="AA146">
        <v>0</v>
      </c>
      <c r="AB146">
        <v>0</v>
      </c>
      <c r="AC146">
        <v>41.098901098901088</v>
      </c>
      <c r="AE146">
        <v>2</v>
      </c>
      <c r="AF146">
        <v>61</v>
      </c>
      <c r="AI146">
        <v>0</v>
      </c>
      <c r="AJ146">
        <v>0</v>
      </c>
    </row>
    <row r="147" spans="1:36" x14ac:dyDescent="0.3">
      <c r="A147" t="s">
        <v>161</v>
      </c>
      <c r="B147" t="s">
        <v>602</v>
      </c>
      <c r="C147" t="s">
        <v>629</v>
      </c>
      <c r="D147">
        <v>80429.78</v>
      </c>
      <c r="E147">
        <v>39809.829999999987</v>
      </c>
      <c r="G147" t="s">
        <v>543</v>
      </c>
      <c r="H147">
        <v>97000</v>
      </c>
      <c r="I147">
        <v>110000</v>
      </c>
      <c r="J147">
        <v>85000</v>
      </c>
      <c r="K147">
        <v>0</v>
      </c>
      <c r="L147">
        <v>85000</v>
      </c>
      <c r="M147">
        <v>17000</v>
      </c>
      <c r="N147">
        <v>68000</v>
      </c>
      <c r="O147">
        <v>68000</v>
      </c>
      <c r="P147">
        <v>488</v>
      </c>
      <c r="Q147">
        <v>0</v>
      </c>
      <c r="R147">
        <v>75</v>
      </c>
      <c r="S147">
        <v>0</v>
      </c>
      <c r="T147">
        <v>0</v>
      </c>
      <c r="U147">
        <v>0</v>
      </c>
      <c r="X147">
        <v>32240</v>
      </c>
      <c r="Y147">
        <v>0</v>
      </c>
      <c r="AA147">
        <v>0</v>
      </c>
      <c r="AB147">
        <v>0</v>
      </c>
      <c r="AC147">
        <v>38.181818181818187</v>
      </c>
      <c r="AE147">
        <v>4</v>
      </c>
      <c r="AF147">
        <v>53</v>
      </c>
      <c r="AI147">
        <v>0</v>
      </c>
      <c r="AJ147">
        <v>0</v>
      </c>
    </row>
    <row r="148" spans="1:36" x14ac:dyDescent="0.3">
      <c r="A148" t="s">
        <v>162</v>
      </c>
      <c r="C148" t="s">
        <v>667</v>
      </c>
      <c r="D148">
        <v>89215</v>
      </c>
      <c r="E148">
        <v>15309.52</v>
      </c>
      <c r="G148" t="s">
        <v>543</v>
      </c>
      <c r="H148">
        <v>85000</v>
      </c>
      <c r="I148">
        <v>95000</v>
      </c>
      <c r="J148">
        <v>87000</v>
      </c>
      <c r="K148">
        <v>0</v>
      </c>
      <c r="L148">
        <v>87000</v>
      </c>
      <c r="M148">
        <v>17400</v>
      </c>
      <c r="N148">
        <v>69600</v>
      </c>
      <c r="O148">
        <v>69600</v>
      </c>
      <c r="P148">
        <v>337.32</v>
      </c>
      <c r="Q148">
        <v>103.75</v>
      </c>
      <c r="R148">
        <v>25</v>
      </c>
      <c r="S148">
        <v>4.1250000000000002E-2</v>
      </c>
      <c r="T148">
        <v>0</v>
      </c>
      <c r="U148">
        <v>0</v>
      </c>
      <c r="X148">
        <v>29120</v>
      </c>
      <c r="Y148">
        <v>0</v>
      </c>
      <c r="AA148">
        <v>0</v>
      </c>
      <c r="AB148">
        <v>0</v>
      </c>
      <c r="AC148">
        <v>26.736842105263161</v>
      </c>
      <c r="AE148">
        <v>1</v>
      </c>
      <c r="AF148">
        <v>69</v>
      </c>
      <c r="AI148">
        <v>0</v>
      </c>
      <c r="AJ148">
        <v>0</v>
      </c>
    </row>
    <row r="149" spans="1:36" x14ac:dyDescent="0.3">
      <c r="A149" t="s">
        <v>163</v>
      </c>
      <c r="B149" t="s">
        <v>620</v>
      </c>
      <c r="C149" t="s">
        <v>591</v>
      </c>
      <c r="D149">
        <v>56237.5</v>
      </c>
      <c r="E149">
        <v>90113.7</v>
      </c>
      <c r="G149" t="s">
        <v>543</v>
      </c>
      <c r="H149">
        <v>102500</v>
      </c>
      <c r="I149">
        <v>130000</v>
      </c>
      <c r="J149">
        <v>102500</v>
      </c>
      <c r="K149">
        <v>0</v>
      </c>
      <c r="L149">
        <v>102500</v>
      </c>
      <c r="M149">
        <v>0</v>
      </c>
      <c r="N149">
        <v>82000</v>
      </c>
      <c r="O149">
        <v>82000</v>
      </c>
      <c r="P149">
        <v>571</v>
      </c>
      <c r="Q149">
        <v>0</v>
      </c>
      <c r="R149">
        <v>75</v>
      </c>
      <c r="S149">
        <v>0</v>
      </c>
      <c r="T149">
        <v>0</v>
      </c>
      <c r="U149">
        <v>0</v>
      </c>
      <c r="X149">
        <v>29696</v>
      </c>
      <c r="Y149">
        <v>0</v>
      </c>
      <c r="AA149">
        <v>0</v>
      </c>
      <c r="AB149">
        <v>0</v>
      </c>
      <c r="AC149">
        <v>36.923076923076927</v>
      </c>
      <c r="AE149">
        <v>2</v>
      </c>
      <c r="AF149">
        <v>77</v>
      </c>
      <c r="AI149">
        <v>0</v>
      </c>
      <c r="AJ149">
        <v>0</v>
      </c>
    </row>
    <row r="150" spans="1:36" x14ac:dyDescent="0.3">
      <c r="A150" t="s">
        <v>164</v>
      </c>
      <c r="B150" t="s">
        <v>668</v>
      </c>
      <c r="C150" t="s">
        <v>669</v>
      </c>
      <c r="D150">
        <v>105000</v>
      </c>
      <c r="E150">
        <v>61579.19</v>
      </c>
      <c r="G150" t="s">
        <v>543</v>
      </c>
      <c r="H150">
        <v>110000</v>
      </c>
      <c r="I150">
        <v>140000</v>
      </c>
      <c r="J150">
        <v>110000</v>
      </c>
      <c r="K150">
        <v>0</v>
      </c>
      <c r="L150">
        <v>110000</v>
      </c>
      <c r="M150">
        <v>22000</v>
      </c>
      <c r="N150">
        <v>88000</v>
      </c>
      <c r="O150">
        <v>88000</v>
      </c>
      <c r="P150">
        <v>432.91</v>
      </c>
      <c r="Q150">
        <v>179.09</v>
      </c>
      <c r="R150">
        <v>75</v>
      </c>
      <c r="S150">
        <v>4.2500000000000003E-2</v>
      </c>
      <c r="T150">
        <v>0</v>
      </c>
      <c r="U150">
        <v>0</v>
      </c>
      <c r="X150">
        <v>35937.370000000003</v>
      </c>
      <c r="Y150">
        <v>0</v>
      </c>
      <c r="AA150">
        <v>0</v>
      </c>
      <c r="AB150">
        <v>0</v>
      </c>
      <c r="AC150">
        <v>37.142857142857153</v>
      </c>
      <c r="AE150">
        <v>2</v>
      </c>
      <c r="AF150">
        <v>79</v>
      </c>
      <c r="AI150">
        <v>0</v>
      </c>
      <c r="AJ150">
        <v>0</v>
      </c>
    </row>
    <row r="151" spans="1:36" x14ac:dyDescent="0.3">
      <c r="A151" t="s">
        <v>165</v>
      </c>
      <c r="B151" t="s">
        <v>670</v>
      </c>
      <c r="C151" t="s">
        <v>670</v>
      </c>
      <c r="D151">
        <v>116695.67</v>
      </c>
      <c r="E151">
        <v>7006</v>
      </c>
      <c r="G151" t="s">
        <v>543</v>
      </c>
      <c r="H151">
        <v>92500</v>
      </c>
      <c r="I151">
        <v>94500</v>
      </c>
      <c r="J151">
        <v>85000</v>
      </c>
      <c r="K151">
        <v>0</v>
      </c>
      <c r="L151">
        <v>85000</v>
      </c>
      <c r="M151">
        <v>17000</v>
      </c>
      <c r="N151">
        <v>68000</v>
      </c>
      <c r="O151">
        <v>68000</v>
      </c>
      <c r="P151">
        <v>508.78</v>
      </c>
      <c r="Q151">
        <v>0</v>
      </c>
      <c r="R151">
        <v>25</v>
      </c>
      <c r="S151">
        <v>0</v>
      </c>
      <c r="T151">
        <v>0</v>
      </c>
      <c r="U151">
        <v>0</v>
      </c>
      <c r="X151">
        <v>30758.68</v>
      </c>
      <c r="Y151">
        <v>0</v>
      </c>
      <c r="AA151">
        <v>0</v>
      </c>
      <c r="AB151">
        <v>0</v>
      </c>
      <c r="AC151">
        <v>28.042328042328041</v>
      </c>
      <c r="AE151">
        <v>1</v>
      </c>
      <c r="AF151">
        <v>73</v>
      </c>
      <c r="AI151">
        <v>0</v>
      </c>
      <c r="AJ151">
        <v>0</v>
      </c>
    </row>
    <row r="152" spans="1:36" x14ac:dyDescent="0.3">
      <c r="A152" t="s">
        <v>166</v>
      </c>
      <c r="B152" t="s">
        <v>671</v>
      </c>
      <c r="C152" t="s">
        <v>671</v>
      </c>
      <c r="D152">
        <v>74442.990000000005</v>
      </c>
      <c r="E152">
        <v>24101.03</v>
      </c>
      <c r="G152" t="s">
        <v>543</v>
      </c>
      <c r="H152">
        <v>90000</v>
      </c>
      <c r="I152">
        <v>70000</v>
      </c>
      <c r="J152">
        <v>70000</v>
      </c>
      <c r="K152">
        <v>0</v>
      </c>
      <c r="L152">
        <v>70000</v>
      </c>
      <c r="M152">
        <v>10000</v>
      </c>
      <c r="N152">
        <v>60000</v>
      </c>
      <c r="O152">
        <v>60000</v>
      </c>
      <c r="P152">
        <v>485.76</v>
      </c>
      <c r="Q152">
        <v>0</v>
      </c>
      <c r="R152">
        <v>25</v>
      </c>
      <c r="S152">
        <v>0</v>
      </c>
      <c r="T152">
        <v>0</v>
      </c>
      <c r="U152">
        <v>0</v>
      </c>
      <c r="X152">
        <v>25183</v>
      </c>
      <c r="Y152">
        <v>0</v>
      </c>
      <c r="AA152">
        <v>0</v>
      </c>
      <c r="AB152">
        <v>0</v>
      </c>
      <c r="AC152">
        <v>14.28571428571429</v>
      </c>
      <c r="AE152">
        <v>1</v>
      </c>
      <c r="AF152">
        <v>61</v>
      </c>
      <c r="AI152">
        <v>0</v>
      </c>
      <c r="AJ152">
        <v>0</v>
      </c>
    </row>
    <row r="153" spans="1:36" x14ac:dyDescent="0.3">
      <c r="A153" t="s">
        <v>166</v>
      </c>
      <c r="B153" t="s">
        <v>671</v>
      </c>
      <c r="C153" t="s">
        <v>672</v>
      </c>
      <c r="D153">
        <v>0</v>
      </c>
      <c r="E153">
        <v>0</v>
      </c>
      <c r="H153">
        <v>0</v>
      </c>
      <c r="I153">
        <v>221000</v>
      </c>
      <c r="J153">
        <v>211000</v>
      </c>
      <c r="K153">
        <v>0</v>
      </c>
      <c r="L153">
        <v>211000</v>
      </c>
      <c r="M153">
        <v>96000</v>
      </c>
      <c r="N153">
        <v>211000</v>
      </c>
      <c r="O153">
        <v>115000</v>
      </c>
      <c r="P153">
        <v>500.49</v>
      </c>
      <c r="Q153">
        <v>152.06</v>
      </c>
      <c r="R153">
        <v>30</v>
      </c>
      <c r="S153">
        <v>3.2500000000000001E-2</v>
      </c>
      <c r="T153">
        <v>0</v>
      </c>
      <c r="U153">
        <v>0</v>
      </c>
      <c r="X153">
        <v>25183</v>
      </c>
      <c r="Y153">
        <v>0</v>
      </c>
      <c r="AA153">
        <v>10.0014</v>
      </c>
      <c r="AB153">
        <v>0</v>
      </c>
      <c r="AC153">
        <v>4.5248868778280489</v>
      </c>
      <c r="AE153">
        <v>1</v>
      </c>
      <c r="AF153">
        <v>61</v>
      </c>
      <c r="AI153">
        <v>0</v>
      </c>
      <c r="AJ153">
        <v>0</v>
      </c>
    </row>
    <row r="154" spans="1:36" x14ac:dyDescent="0.3">
      <c r="A154" t="s">
        <v>167</v>
      </c>
      <c r="B154" t="s">
        <v>626</v>
      </c>
      <c r="C154" t="s">
        <v>626</v>
      </c>
      <c r="D154">
        <v>74638.02</v>
      </c>
      <c r="E154">
        <v>16119.78</v>
      </c>
      <c r="G154" t="s">
        <v>543</v>
      </c>
      <c r="H154">
        <v>73500</v>
      </c>
      <c r="I154">
        <v>80000</v>
      </c>
      <c r="J154">
        <v>70500</v>
      </c>
      <c r="K154">
        <v>0</v>
      </c>
      <c r="L154">
        <v>70500</v>
      </c>
      <c r="M154">
        <v>14100</v>
      </c>
      <c r="N154">
        <v>56400</v>
      </c>
      <c r="O154">
        <v>56400</v>
      </c>
      <c r="P154">
        <v>440.48</v>
      </c>
      <c r="Q154">
        <v>0</v>
      </c>
      <c r="R154">
        <v>25</v>
      </c>
      <c r="S154">
        <v>0</v>
      </c>
      <c r="T154">
        <v>0</v>
      </c>
      <c r="U154">
        <v>0</v>
      </c>
      <c r="X154">
        <v>25392</v>
      </c>
      <c r="Y154">
        <v>0</v>
      </c>
      <c r="AA154">
        <v>0</v>
      </c>
      <c r="AB154">
        <v>0</v>
      </c>
      <c r="AC154">
        <v>29.5</v>
      </c>
      <c r="AE154">
        <v>1</v>
      </c>
      <c r="AF154">
        <v>60</v>
      </c>
      <c r="AI154">
        <v>0</v>
      </c>
      <c r="AJ154">
        <v>0</v>
      </c>
    </row>
    <row r="155" spans="1:36" x14ac:dyDescent="0.3">
      <c r="A155" t="s">
        <v>168</v>
      </c>
      <c r="B155" t="s">
        <v>673</v>
      </c>
      <c r="C155" t="s">
        <v>566</v>
      </c>
      <c r="D155">
        <v>41590.06</v>
      </c>
      <c r="E155">
        <v>48310</v>
      </c>
      <c r="G155" t="s">
        <v>543</v>
      </c>
      <c r="H155">
        <v>90000</v>
      </c>
      <c r="I155">
        <v>65000</v>
      </c>
      <c r="J155">
        <v>56000</v>
      </c>
      <c r="K155">
        <v>0</v>
      </c>
      <c r="L155">
        <v>56000</v>
      </c>
      <c r="M155">
        <v>11200</v>
      </c>
      <c r="N155">
        <v>44800</v>
      </c>
      <c r="O155">
        <v>44800</v>
      </c>
      <c r="P155">
        <v>335</v>
      </c>
      <c r="Q155">
        <v>0</v>
      </c>
      <c r="R155">
        <v>25</v>
      </c>
      <c r="S155">
        <v>0</v>
      </c>
      <c r="T155">
        <v>0</v>
      </c>
      <c r="U155">
        <v>0</v>
      </c>
      <c r="X155">
        <v>28327.24</v>
      </c>
      <c r="Y155">
        <v>0</v>
      </c>
      <c r="AA155">
        <v>0</v>
      </c>
      <c r="AB155">
        <v>0</v>
      </c>
      <c r="AC155">
        <v>31.07692307692308</v>
      </c>
      <c r="AE155">
        <v>3</v>
      </c>
      <c r="AF155">
        <v>53</v>
      </c>
      <c r="AI155">
        <v>0</v>
      </c>
      <c r="AJ155">
        <v>0</v>
      </c>
    </row>
    <row r="156" spans="1:36" x14ac:dyDescent="0.3">
      <c r="A156" t="s">
        <v>169</v>
      </c>
      <c r="B156" t="s">
        <v>674</v>
      </c>
      <c r="C156" t="s">
        <v>675</v>
      </c>
      <c r="D156">
        <v>126720</v>
      </c>
      <c r="E156">
        <v>60650.55</v>
      </c>
      <c r="G156" t="s">
        <v>543</v>
      </c>
      <c r="H156">
        <v>120000</v>
      </c>
      <c r="I156">
        <v>148000</v>
      </c>
      <c r="J156">
        <v>121000</v>
      </c>
      <c r="K156">
        <v>0</v>
      </c>
      <c r="L156">
        <v>121000</v>
      </c>
      <c r="M156">
        <v>24200</v>
      </c>
      <c r="N156">
        <v>96800</v>
      </c>
      <c r="O156">
        <v>96800</v>
      </c>
      <c r="P156">
        <v>476.2</v>
      </c>
      <c r="Q156">
        <v>183.8</v>
      </c>
      <c r="R156">
        <v>75</v>
      </c>
      <c r="S156">
        <v>4.2500000000000003E-2</v>
      </c>
      <c r="T156">
        <v>0</v>
      </c>
      <c r="U156">
        <v>0</v>
      </c>
      <c r="X156">
        <v>34043</v>
      </c>
      <c r="Y156">
        <v>0</v>
      </c>
      <c r="AA156">
        <v>0.81310000000000004</v>
      </c>
      <c r="AB156">
        <v>0</v>
      </c>
      <c r="AC156">
        <v>34.594594594594597</v>
      </c>
      <c r="AE156">
        <v>2</v>
      </c>
      <c r="AF156">
        <v>75</v>
      </c>
      <c r="AI156">
        <v>0</v>
      </c>
      <c r="AJ156">
        <v>0</v>
      </c>
    </row>
    <row r="157" spans="1:36" x14ac:dyDescent="0.3">
      <c r="A157" t="s">
        <v>170</v>
      </c>
      <c r="B157" t="s">
        <v>676</v>
      </c>
      <c r="C157" t="s">
        <v>677</v>
      </c>
      <c r="D157">
        <v>64350</v>
      </c>
      <c r="E157">
        <v>104233.17</v>
      </c>
      <c r="G157" t="s">
        <v>543</v>
      </c>
      <c r="H157">
        <v>125000</v>
      </c>
      <c r="I157">
        <v>165000</v>
      </c>
      <c r="J157">
        <v>127000</v>
      </c>
      <c r="K157">
        <v>0</v>
      </c>
      <c r="L157">
        <v>127000</v>
      </c>
      <c r="M157">
        <v>25400</v>
      </c>
      <c r="N157">
        <v>101600</v>
      </c>
      <c r="O157">
        <v>101600</v>
      </c>
      <c r="P157">
        <v>545.41999999999996</v>
      </c>
      <c r="Q157">
        <v>152.58000000000001</v>
      </c>
      <c r="R157">
        <v>75</v>
      </c>
      <c r="S157">
        <v>0.05</v>
      </c>
      <c r="T157">
        <v>0</v>
      </c>
      <c r="U157">
        <v>0</v>
      </c>
      <c r="X157">
        <v>31796.1</v>
      </c>
      <c r="Y157">
        <v>0</v>
      </c>
      <c r="AA157">
        <v>0</v>
      </c>
      <c r="AB157">
        <v>0</v>
      </c>
      <c r="AC157">
        <v>38.424242424242429</v>
      </c>
      <c r="AE157">
        <v>1</v>
      </c>
      <c r="AF157">
        <v>80</v>
      </c>
      <c r="AI157">
        <v>0</v>
      </c>
      <c r="AJ157">
        <v>0</v>
      </c>
    </row>
    <row r="158" spans="1:36" x14ac:dyDescent="0.3">
      <c r="A158" t="s">
        <v>171</v>
      </c>
      <c r="B158" t="s">
        <v>578</v>
      </c>
      <c r="C158" t="s">
        <v>678</v>
      </c>
      <c r="D158">
        <v>89274.37</v>
      </c>
      <c r="E158">
        <v>69218.55</v>
      </c>
      <c r="G158" t="s">
        <v>543</v>
      </c>
      <c r="H158">
        <v>130000</v>
      </c>
      <c r="I158">
        <v>140000</v>
      </c>
      <c r="J158">
        <v>130769</v>
      </c>
      <c r="K158">
        <v>0</v>
      </c>
      <c r="L158">
        <v>0</v>
      </c>
      <c r="M158">
        <v>0</v>
      </c>
      <c r="N158">
        <v>104615</v>
      </c>
      <c r="O158">
        <v>104615</v>
      </c>
      <c r="P158">
        <v>698</v>
      </c>
      <c r="Q158">
        <v>0</v>
      </c>
      <c r="R158">
        <v>25</v>
      </c>
      <c r="S158">
        <v>0</v>
      </c>
      <c r="T158">
        <v>0</v>
      </c>
      <c r="U158">
        <v>0</v>
      </c>
      <c r="X158">
        <v>40062</v>
      </c>
      <c r="Y158">
        <v>0</v>
      </c>
      <c r="AA158">
        <v>0</v>
      </c>
      <c r="AB158">
        <v>0</v>
      </c>
      <c r="AC158">
        <v>25.274999999999999</v>
      </c>
      <c r="AE158">
        <v>3</v>
      </c>
      <c r="AF158">
        <v>61</v>
      </c>
      <c r="AI158">
        <v>0</v>
      </c>
      <c r="AJ158">
        <v>0</v>
      </c>
    </row>
    <row r="159" spans="1:36" x14ac:dyDescent="0.3">
      <c r="A159" t="s">
        <v>172</v>
      </c>
      <c r="B159" t="s">
        <v>679</v>
      </c>
      <c r="C159" t="s">
        <v>679</v>
      </c>
      <c r="D159">
        <v>85844.5</v>
      </c>
      <c r="E159">
        <v>52607.94</v>
      </c>
      <c r="G159" t="s">
        <v>543</v>
      </c>
      <c r="H159">
        <v>115000</v>
      </c>
      <c r="I159">
        <v>70000</v>
      </c>
      <c r="J159">
        <v>70000</v>
      </c>
      <c r="K159">
        <v>0</v>
      </c>
      <c r="L159">
        <v>70000</v>
      </c>
      <c r="M159">
        <v>15000</v>
      </c>
      <c r="N159">
        <v>55000</v>
      </c>
      <c r="O159">
        <v>55000</v>
      </c>
      <c r="P159">
        <v>479.75</v>
      </c>
      <c r="Q159">
        <v>0</v>
      </c>
      <c r="R159">
        <v>25</v>
      </c>
      <c r="S159">
        <v>0</v>
      </c>
      <c r="T159">
        <v>0</v>
      </c>
      <c r="U159">
        <v>0</v>
      </c>
      <c r="X159">
        <v>26565.97</v>
      </c>
      <c r="Y159">
        <v>0</v>
      </c>
      <c r="AA159">
        <v>0</v>
      </c>
      <c r="AB159">
        <v>0</v>
      </c>
      <c r="AC159">
        <v>21.428571428571431</v>
      </c>
      <c r="AE159">
        <v>1</v>
      </c>
      <c r="AF159">
        <v>63</v>
      </c>
      <c r="AI159">
        <v>0</v>
      </c>
      <c r="AJ159">
        <v>0</v>
      </c>
    </row>
    <row r="160" spans="1:36" x14ac:dyDescent="0.3">
      <c r="A160" t="s">
        <v>173</v>
      </c>
      <c r="B160" t="s">
        <v>680</v>
      </c>
      <c r="C160" t="s">
        <v>680</v>
      </c>
      <c r="D160">
        <v>81421.61</v>
      </c>
      <c r="E160">
        <v>42119</v>
      </c>
      <c r="G160" t="s">
        <v>543</v>
      </c>
      <c r="H160">
        <v>90000</v>
      </c>
      <c r="I160">
        <v>65000</v>
      </c>
      <c r="J160">
        <v>65000</v>
      </c>
      <c r="K160">
        <v>0</v>
      </c>
      <c r="L160">
        <v>65000</v>
      </c>
      <c r="M160">
        <v>10000</v>
      </c>
      <c r="N160">
        <v>55000</v>
      </c>
      <c r="O160">
        <v>55000</v>
      </c>
      <c r="P160">
        <v>443.63</v>
      </c>
      <c r="Q160">
        <v>0</v>
      </c>
      <c r="R160">
        <v>25</v>
      </c>
      <c r="S160">
        <v>0</v>
      </c>
      <c r="T160">
        <v>0</v>
      </c>
      <c r="U160">
        <v>0</v>
      </c>
      <c r="X160">
        <v>28296</v>
      </c>
      <c r="Y160">
        <v>0</v>
      </c>
      <c r="AA160">
        <v>0</v>
      </c>
      <c r="AB160">
        <v>0</v>
      </c>
      <c r="AC160">
        <v>15.38461538461539</v>
      </c>
      <c r="AE160">
        <v>1</v>
      </c>
      <c r="AF160">
        <v>67</v>
      </c>
      <c r="AI160">
        <v>0</v>
      </c>
      <c r="AJ160">
        <v>0</v>
      </c>
    </row>
    <row r="161" spans="1:36" x14ac:dyDescent="0.3">
      <c r="A161" t="s">
        <v>174</v>
      </c>
      <c r="B161" t="s">
        <v>681</v>
      </c>
      <c r="C161" t="s">
        <v>682</v>
      </c>
      <c r="D161">
        <v>85954.5</v>
      </c>
      <c r="E161">
        <v>33863.35</v>
      </c>
      <c r="G161" t="s">
        <v>543</v>
      </c>
      <c r="H161">
        <v>98500</v>
      </c>
      <c r="I161">
        <v>122500</v>
      </c>
      <c r="J161">
        <v>98500</v>
      </c>
      <c r="K161">
        <v>0</v>
      </c>
      <c r="L161">
        <v>98500</v>
      </c>
      <c r="M161">
        <v>0</v>
      </c>
      <c r="N161">
        <v>78800</v>
      </c>
      <c r="O161">
        <v>78800</v>
      </c>
      <c r="P161">
        <v>423.02</v>
      </c>
      <c r="Q161">
        <v>140.97999999999999</v>
      </c>
      <c r="R161">
        <v>75</v>
      </c>
      <c r="S161">
        <v>0.05</v>
      </c>
      <c r="T161">
        <v>0</v>
      </c>
      <c r="U161">
        <v>0</v>
      </c>
      <c r="X161">
        <v>30742.79</v>
      </c>
      <c r="Y161">
        <v>0</v>
      </c>
      <c r="AA161">
        <v>0</v>
      </c>
      <c r="AB161">
        <v>0</v>
      </c>
      <c r="AC161">
        <v>35.673469387755098</v>
      </c>
      <c r="AE161">
        <v>3</v>
      </c>
      <c r="AF161">
        <v>57</v>
      </c>
      <c r="AI161">
        <v>0</v>
      </c>
      <c r="AJ161">
        <v>0</v>
      </c>
    </row>
    <row r="162" spans="1:36" x14ac:dyDescent="0.3">
      <c r="A162" t="s">
        <v>175</v>
      </c>
      <c r="B162" t="s">
        <v>683</v>
      </c>
      <c r="C162" t="s">
        <v>683</v>
      </c>
      <c r="D162">
        <v>80595.25</v>
      </c>
      <c r="E162">
        <v>34652.01</v>
      </c>
      <c r="G162" t="s">
        <v>543</v>
      </c>
      <c r="H162">
        <v>113000</v>
      </c>
      <c r="I162">
        <v>108000</v>
      </c>
      <c r="J162">
        <v>100000</v>
      </c>
      <c r="K162">
        <v>0</v>
      </c>
      <c r="L162">
        <v>100000</v>
      </c>
      <c r="M162">
        <v>27613</v>
      </c>
      <c r="N162">
        <v>72387</v>
      </c>
      <c r="O162">
        <v>72387</v>
      </c>
      <c r="P162">
        <v>577.64</v>
      </c>
      <c r="Q162">
        <v>0</v>
      </c>
      <c r="R162">
        <v>25</v>
      </c>
      <c r="S162">
        <v>0</v>
      </c>
      <c r="T162">
        <v>0</v>
      </c>
      <c r="U162">
        <v>0</v>
      </c>
      <c r="X162">
        <v>34620</v>
      </c>
      <c r="Y162">
        <v>0</v>
      </c>
      <c r="AA162">
        <v>0</v>
      </c>
      <c r="AB162">
        <v>0</v>
      </c>
      <c r="AC162">
        <v>32.975000000000001</v>
      </c>
      <c r="AE162">
        <v>4</v>
      </c>
      <c r="AF162">
        <v>59</v>
      </c>
      <c r="AI162">
        <v>0</v>
      </c>
      <c r="AJ162">
        <v>0</v>
      </c>
    </row>
    <row r="163" spans="1:36" x14ac:dyDescent="0.3">
      <c r="A163" t="s">
        <v>176</v>
      </c>
      <c r="X163">
        <v>0</v>
      </c>
      <c r="AE163">
        <v>0</v>
      </c>
      <c r="AF163">
        <v>0</v>
      </c>
    </row>
    <row r="164" spans="1:36" x14ac:dyDescent="0.3">
      <c r="A164" t="s">
        <v>177</v>
      </c>
      <c r="B164" t="s">
        <v>648</v>
      </c>
      <c r="C164" t="s">
        <v>684</v>
      </c>
      <c r="D164">
        <v>73360.429999999993</v>
      </c>
      <c r="E164">
        <v>39485.54</v>
      </c>
      <c r="G164" t="s">
        <v>543</v>
      </c>
      <c r="H164">
        <v>95000</v>
      </c>
      <c r="I164">
        <v>120000</v>
      </c>
      <c r="J164">
        <v>111000</v>
      </c>
      <c r="K164">
        <v>0</v>
      </c>
      <c r="L164">
        <v>111000</v>
      </c>
      <c r="M164">
        <v>22200</v>
      </c>
      <c r="N164">
        <v>88800</v>
      </c>
      <c r="O164">
        <v>88800</v>
      </c>
      <c r="P164">
        <v>559</v>
      </c>
      <c r="Q164">
        <v>0</v>
      </c>
      <c r="R164">
        <v>25</v>
      </c>
      <c r="S164">
        <v>0</v>
      </c>
      <c r="T164">
        <v>0</v>
      </c>
      <c r="U164">
        <v>0</v>
      </c>
      <c r="X164">
        <v>39776.879999999997</v>
      </c>
      <c r="Y164">
        <v>0</v>
      </c>
      <c r="AA164">
        <v>0</v>
      </c>
      <c r="AB164">
        <v>0</v>
      </c>
      <c r="AC164">
        <v>26</v>
      </c>
      <c r="AE164">
        <v>1</v>
      </c>
      <c r="AF164">
        <v>73</v>
      </c>
      <c r="AI164">
        <v>0</v>
      </c>
      <c r="AJ164">
        <v>0</v>
      </c>
    </row>
    <row r="165" spans="1:36" x14ac:dyDescent="0.3">
      <c r="A165" t="s">
        <v>179</v>
      </c>
      <c r="B165" t="s">
        <v>685</v>
      </c>
      <c r="C165" t="s">
        <v>686</v>
      </c>
      <c r="H165">
        <v>115000</v>
      </c>
      <c r="I165">
        <v>150000</v>
      </c>
      <c r="J165">
        <v>139000</v>
      </c>
      <c r="L165">
        <v>139000</v>
      </c>
      <c r="M165">
        <v>47000</v>
      </c>
      <c r="N165">
        <v>92000</v>
      </c>
      <c r="O165">
        <v>92000</v>
      </c>
      <c r="P165">
        <v>493.88</v>
      </c>
      <c r="Q165">
        <v>125.19</v>
      </c>
      <c r="R165">
        <v>30</v>
      </c>
      <c r="S165">
        <v>0.05</v>
      </c>
      <c r="X165">
        <v>26185</v>
      </c>
      <c r="AA165">
        <v>7.4196</v>
      </c>
      <c r="AE165">
        <v>2</v>
      </c>
      <c r="AF165">
        <v>54</v>
      </c>
    </row>
    <row r="166" spans="1:36" x14ac:dyDescent="0.3">
      <c r="A166" t="s">
        <v>180</v>
      </c>
      <c r="B166" t="s">
        <v>687</v>
      </c>
      <c r="C166" t="s">
        <v>688</v>
      </c>
      <c r="F166" t="s">
        <v>689</v>
      </c>
      <c r="G166" t="s">
        <v>690</v>
      </c>
      <c r="I166">
        <v>203600</v>
      </c>
      <c r="J166">
        <v>117000</v>
      </c>
      <c r="K166">
        <v>217000</v>
      </c>
      <c r="L166">
        <v>165000</v>
      </c>
      <c r="M166">
        <v>15000</v>
      </c>
      <c r="N166">
        <v>150000</v>
      </c>
      <c r="O166">
        <v>150500</v>
      </c>
      <c r="P166">
        <v>785.08</v>
      </c>
      <c r="Q166">
        <v>134.41</v>
      </c>
      <c r="R166">
        <v>35</v>
      </c>
      <c r="S166">
        <v>4.75</v>
      </c>
      <c r="X166">
        <v>35954.1</v>
      </c>
      <c r="AA166">
        <v>7.37</v>
      </c>
      <c r="AC166">
        <v>26.326129666011791</v>
      </c>
    </row>
    <row r="167" spans="1:36" x14ac:dyDescent="0.3">
      <c r="A167" t="s">
        <v>185</v>
      </c>
      <c r="B167" t="s">
        <v>691</v>
      </c>
      <c r="C167" t="s">
        <v>692</v>
      </c>
      <c r="I167">
        <v>400000</v>
      </c>
      <c r="J167">
        <v>413000</v>
      </c>
      <c r="K167">
        <v>413000</v>
      </c>
      <c r="L167">
        <v>310000</v>
      </c>
      <c r="M167">
        <v>64000</v>
      </c>
      <c r="N167">
        <v>246000</v>
      </c>
      <c r="O167">
        <v>244750</v>
      </c>
      <c r="P167">
        <v>1312.38</v>
      </c>
      <c r="Q167">
        <v>203.84</v>
      </c>
      <c r="R167">
        <v>35</v>
      </c>
      <c r="S167">
        <v>4.99</v>
      </c>
      <c r="X167">
        <v>64414.15</v>
      </c>
      <c r="AA167">
        <v>2.42</v>
      </c>
      <c r="AC167">
        <v>38.5</v>
      </c>
    </row>
    <row r="168" spans="1:36" x14ac:dyDescent="0.3">
      <c r="A168" t="s">
        <v>188</v>
      </c>
      <c r="B168" t="s">
        <v>693</v>
      </c>
      <c r="C168" t="s">
        <v>693</v>
      </c>
      <c r="E168">
        <v>20000</v>
      </c>
      <c r="F168" t="s">
        <v>694</v>
      </c>
      <c r="G168" t="s">
        <v>690</v>
      </c>
      <c r="I168">
        <v>120000</v>
      </c>
      <c r="J168">
        <v>77500</v>
      </c>
      <c r="K168">
        <v>125000</v>
      </c>
      <c r="L168">
        <v>130000</v>
      </c>
      <c r="M168">
        <v>16692.189999999999</v>
      </c>
      <c r="N168">
        <v>113307.81</v>
      </c>
      <c r="P168">
        <v>707.92</v>
      </c>
      <c r="Q168">
        <v>204.64</v>
      </c>
      <c r="R168">
        <v>35</v>
      </c>
      <c r="T168">
        <v>52000</v>
      </c>
      <c r="V168" t="s">
        <v>690</v>
      </c>
      <c r="W168" t="s">
        <v>695</v>
      </c>
      <c r="X168">
        <v>37542</v>
      </c>
      <c r="AA168">
        <v>4.9800000000000004</v>
      </c>
      <c r="AC168">
        <v>5.5768250000000066</v>
      </c>
    </row>
    <row r="169" spans="1:36" x14ac:dyDescent="0.3">
      <c r="A169" t="s">
        <v>188</v>
      </c>
      <c r="C169" t="s">
        <v>696</v>
      </c>
    </row>
    <row r="170" spans="1:36" x14ac:dyDescent="0.3">
      <c r="A170" t="s">
        <v>188</v>
      </c>
      <c r="C170" t="s">
        <v>697</v>
      </c>
      <c r="I170">
        <v>157000</v>
      </c>
      <c r="J170">
        <v>122000</v>
      </c>
      <c r="K170">
        <v>197000</v>
      </c>
      <c r="L170">
        <v>155000</v>
      </c>
      <c r="N170">
        <v>140000</v>
      </c>
      <c r="O170">
        <v>138500</v>
      </c>
      <c r="P170">
        <v>673.25</v>
      </c>
      <c r="R170">
        <v>35</v>
      </c>
      <c r="S170">
        <v>4.1500000000000004</v>
      </c>
      <c r="AC170">
        <v>10.828025477707</v>
      </c>
    </row>
    <row r="171" spans="1:36" x14ac:dyDescent="0.3">
      <c r="A171" t="s">
        <v>191</v>
      </c>
      <c r="B171" t="s">
        <v>698</v>
      </c>
      <c r="C171" t="s">
        <v>699</v>
      </c>
      <c r="E171">
        <v>58203.64</v>
      </c>
      <c r="F171" t="s">
        <v>700</v>
      </c>
      <c r="G171" t="s">
        <v>690</v>
      </c>
      <c r="I171">
        <v>170000</v>
      </c>
      <c r="J171">
        <v>120000</v>
      </c>
      <c r="K171">
        <v>180000</v>
      </c>
      <c r="L171">
        <v>132500</v>
      </c>
      <c r="M171">
        <v>42500</v>
      </c>
      <c r="N171">
        <v>90000</v>
      </c>
      <c r="P171">
        <v>524.61</v>
      </c>
      <c r="Q171">
        <v>130.56</v>
      </c>
      <c r="R171">
        <v>35</v>
      </c>
      <c r="T171">
        <v>17573.63</v>
      </c>
      <c r="V171" t="s">
        <v>690</v>
      </c>
      <c r="W171" t="s">
        <v>701</v>
      </c>
      <c r="X171">
        <v>29840</v>
      </c>
      <c r="AA171">
        <v>9.8699999999999992</v>
      </c>
      <c r="AC171">
        <v>47.058823529411761</v>
      </c>
    </row>
    <row r="172" spans="1:36" x14ac:dyDescent="0.3">
      <c r="A172" t="s">
        <v>191</v>
      </c>
      <c r="C172" t="s">
        <v>702</v>
      </c>
    </row>
    <row r="173" spans="1:36" x14ac:dyDescent="0.3">
      <c r="A173" t="s">
        <v>191</v>
      </c>
      <c r="C173" t="s">
        <v>703</v>
      </c>
      <c r="I173">
        <v>180000</v>
      </c>
      <c r="J173">
        <v>127000</v>
      </c>
      <c r="K173">
        <v>195000</v>
      </c>
      <c r="L173">
        <v>165000</v>
      </c>
      <c r="N173">
        <v>120000</v>
      </c>
      <c r="O173">
        <v>120000</v>
      </c>
      <c r="P173">
        <v>590.33000000000004</v>
      </c>
      <c r="R173">
        <v>35</v>
      </c>
      <c r="S173">
        <v>4.25</v>
      </c>
      <c r="AC173">
        <v>33.333333333333343</v>
      </c>
    </row>
    <row r="174" spans="1:36" x14ac:dyDescent="0.3">
      <c r="A174" t="s">
        <v>192</v>
      </c>
      <c r="B174" t="s">
        <v>704</v>
      </c>
      <c r="C174" t="s">
        <v>705</v>
      </c>
      <c r="E174">
        <v>20000</v>
      </c>
      <c r="F174" t="s">
        <v>694</v>
      </c>
      <c r="G174" t="s">
        <v>690</v>
      </c>
      <c r="I174">
        <v>120000</v>
      </c>
      <c r="J174">
        <v>100000</v>
      </c>
      <c r="K174">
        <v>130000</v>
      </c>
      <c r="L174">
        <v>150000</v>
      </c>
      <c r="M174">
        <v>52545.3</v>
      </c>
      <c r="N174">
        <v>97454.7</v>
      </c>
      <c r="O174">
        <v>98000</v>
      </c>
      <c r="P174">
        <v>0</v>
      </c>
      <c r="Q174">
        <v>168.71</v>
      </c>
      <c r="R174">
        <v>35</v>
      </c>
      <c r="S174">
        <v>6</v>
      </c>
      <c r="T174">
        <v>32000</v>
      </c>
      <c r="V174" t="s">
        <v>690</v>
      </c>
      <c r="W174" t="s">
        <v>706</v>
      </c>
      <c r="X174">
        <v>34150.910000000003</v>
      </c>
      <c r="AA174">
        <v>3.07</v>
      </c>
      <c r="AC174">
        <v>18.787749999999999</v>
      </c>
    </row>
    <row r="175" spans="1:36" x14ac:dyDescent="0.3">
      <c r="A175" t="s">
        <v>192</v>
      </c>
      <c r="C175" t="s">
        <v>707</v>
      </c>
    </row>
    <row r="176" spans="1:36" x14ac:dyDescent="0.3">
      <c r="A176" t="s">
        <v>192</v>
      </c>
      <c r="C176" t="s">
        <v>708</v>
      </c>
      <c r="I176">
        <v>150000</v>
      </c>
      <c r="J176">
        <v>132000</v>
      </c>
      <c r="K176">
        <v>162000</v>
      </c>
      <c r="L176">
        <v>145000</v>
      </c>
      <c r="N176">
        <v>95000</v>
      </c>
      <c r="O176">
        <v>96000</v>
      </c>
      <c r="P176">
        <v>493.57</v>
      </c>
      <c r="R176">
        <v>35</v>
      </c>
      <c r="S176">
        <v>4.625</v>
      </c>
      <c r="AC176">
        <v>36.666666666666671</v>
      </c>
    </row>
    <row r="177" spans="1:29" x14ac:dyDescent="0.3">
      <c r="A177" t="s">
        <v>193</v>
      </c>
      <c r="B177" t="s">
        <v>709</v>
      </c>
      <c r="C177" t="s">
        <v>710</v>
      </c>
      <c r="E177">
        <v>65515.13</v>
      </c>
      <c r="F177" t="s">
        <v>711</v>
      </c>
      <c r="G177" t="s">
        <v>690</v>
      </c>
      <c r="I177">
        <v>230000</v>
      </c>
      <c r="J177">
        <v>135000</v>
      </c>
      <c r="K177">
        <v>240000</v>
      </c>
      <c r="L177">
        <v>154200</v>
      </c>
      <c r="M177">
        <v>43972.44</v>
      </c>
      <c r="N177">
        <v>110227.56</v>
      </c>
      <c r="O177">
        <v>108700</v>
      </c>
      <c r="P177">
        <v>678</v>
      </c>
      <c r="Q177">
        <v>128.91999999999999</v>
      </c>
      <c r="R177">
        <v>35</v>
      </c>
      <c r="S177">
        <v>6.125</v>
      </c>
      <c r="T177">
        <v>35000</v>
      </c>
      <c r="V177" t="s">
        <v>690</v>
      </c>
      <c r="W177" t="s">
        <v>712</v>
      </c>
      <c r="X177">
        <v>36150</v>
      </c>
      <c r="AA177">
        <v>19.489999999999998</v>
      </c>
      <c r="AC177">
        <v>52.074973913043479</v>
      </c>
    </row>
    <row r="178" spans="1:29" x14ac:dyDescent="0.3">
      <c r="A178" t="s">
        <v>195</v>
      </c>
      <c r="B178" t="s">
        <v>713</v>
      </c>
      <c r="C178" t="s">
        <v>714</v>
      </c>
      <c r="E178">
        <v>57073.78</v>
      </c>
      <c r="F178" t="s">
        <v>715</v>
      </c>
      <c r="G178" t="s">
        <v>690</v>
      </c>
      <c r="I178">
        <v>184000</v>
      </c>
      <c r="J178">
        <v>133000</v>
      </c>
      <c r="K178">
        <v>193000</v>
      </c>
      <c r="L178">
        <v>127000</v>
      </c>
      <c r="M178">
        <v>16329.28</v>
      </c>
      <c r="N178">
        <v>110670.72</v>
      </c>
      <c r="O178">
        <v>111000</v>
      </c>
      <c r="P178">
        <v>604.38</v>
      </c>
      <c r="Q178">
        <v>173.13</v>
      </c>
      <c r="R178">
        <v>35</v>
      </c>
      <c r="S178">
        <v>5.125</v>
      </c>
      <c r="T178">
        <v>35000</v>
      </c>
      <c r="V178" t="s">
        <v>690</v>
      </c>
      <c r="W178" t="s">
        <v>716</v>
      </c>
      <c r="X178">
        <v>40349</v>
      </c>
      <c r="AA178">
        <v>15.68</v>
      </c>
      <c r="AC178">
        <v>39.852869565217389</v>
      </c>
    </row>
    <row r="179" spans="1:29" x14ac:dyDescent="0.3">
      <c r="A179" t="s">
        <v>196</v>
      </c>
      <c r="C179" t="s">
        <v>717</v>
      </c>
      <c r="I179">
        <v>379800</v>
      </c>
      <c r="J179">
        <v>260000</v>
      </c>
      <c r="K179">
        <v>390000</v>
      </c>
      <c r="L179">
        <v>280000</v>
      </c>
      <c r="N179">
        <v>245000</v>
      </c>
      <c r="O179">
        <v>245000</v>
      </c>
      <c r="P179">
        <v>1371.17</v>
      </c>
      <c r="R179">
        <v>35</v>
      </c>
      <c r="S179">
        <v>5.37</v>
      </c>
      <c r="AC179">
        <v>35.492364402317008</v>
      </c>
    </row>
    <row r="180" spans="1:29" x14ac:dyDescent="0.3">
      <c r="A180" t="s">
        <v>197</v>
      </c>
      <c r="B180" t="s">
        <v>718</v>
      </c>
      <c r="C180" t="s">
        <v>719</v>
      </c>
      <c r="E180">
        <v>77845.88</v>
      </c>
      <c r="F180" t="s">
        <v>720</v>
      </c>
      <c r="G180" t="s">
        <v>690</v>
      </c>
      <c r="I180">
        <v>111000</v>
      </c>
      <c r="J180">
        <v>90000</v>
      </c>
      <c r="K180">
        <v>120000</v>
      </c>
      <c r="L180">
        <v>86300</v>
      </c>
      <c r="M180">
        <v>7744.8000000000029</v>
      </c>
      <c r="N180">
        <v>78555.199999999997</v>
      </c>
      <c r="O180">
        <v>78654</v>
      </c>
      <c r="P180">
        <v>386.93</v>
      </c>
      <c r="Q180">
        <v>118.31</v>
      </c>
      <c r="R180">
        <v>35</v>
      </c>
      <c r="S180">
        <v>4.25</v>
      </c>
      <c r="X180">
        <v>21772.1</v>
      </c>
      <c r="AA180">
        <v>13.24</v>
      </c>
      <c r="AC180">
        <v>29.229549549549549</v>
      </c>
    </row>
    <row r="181" spans="1:29" x14ac:dyDescent="0.3">
      <c r="A181" t="s">
        <v>199</v>
      </c>
      <c r="B181" t="s">
        <v>721</v>
      </c>
      <c r="C181" t="s">
        <v>722</v>
      </c>
      <c r="I181">
        <v>214000</v>
      </c>
      <c r="J181">
        <v>214000</v>
      </c>
      <c r="K181">
        <v>230000</v>
      </c>
      <c r="L181">
        <v>160000</v>
      </c>
      <c r="M181">
        <v>16000</v>
      </c>
      <c r="N181">
        <v>144000</v>
      </c>
      <c r="O181">
        <v>145500</v>
      </c>
      <c r="P181">
        <v>684.19</v>
      </c>
      <c r="Q181">
        <v>99.38</v>
      </c>
      <c r="R181">
        <v>35</v>
      </c>
      <c r="S181">
        <v>3.875</v>
      </c>
      <c r="X181">
        <v>34190.47</v>
      </c>
      <c r="AA181">
        <v>6.27</v>
      </c>
      <c r="AC181">
        <v>32.710280373831779</v>
      </c>
    </row>
    <row r="182" spans="1:29" x14ac:dyDescent="0.3">
      <c r="A182" t="s">
        <v>200</v>
      </c>
      <c r="C182" t="s">
        <v>723</v>
      </c>
      <c r="I182">
        <v>396500</v>
      </c>
      <c r="J182">
        <v>312500</v>
      </c>
      <c r="K182">
        <v>407500</v>
      </c>
      <c r="L182">
        <v>350000</v>
      </c>
      <c r="N182">
        <v>315000</v>
      </c>
      <c r="O182">
        <v>324518</v>
      </c>
      <c r="P182">
        <v>2024.57</v>
      </c>
      <c r="R182">
        <v>35</v>
      </c>
      <c r="S182">
        <v>6.37</v>
      </c>
      <c r="AC182">
        <v>20.554854981084489</v>
      </c>
    </row>
    <row r="183" spans="1:29" x14ac:dyDescent="0.3">
      <c r="A183" t="s">
        <v>202</v>
      </c>
      <c r="B183" t="s">
        <v>724</v>
      </c>
      <c r="C183" t="s">
        <v>725</v>
      </c>
      <c r="E183">
        <v>122329.28</v>
      </c>
      <c r="F183" t="s">
        <v>726</v>
      </c>
      <c r="G183" t="s">
        <v>690</v>
      </c>
      <c r="I183">
        <v>331000</v>
      </c>
      <c r="J183">
        <v>198000</v>
      </c>
      <c r="K183">
        <v>348000</v>
      </c>
      <c r="L183">
        <v>260000</v>
      </c>
      <c r="M183">
        <v>22000</v>
      </c>
      <c r="N183">
        <v>238000</v>
      </c>
      <c r="O183">
        <v>241000</v>
      </c>
      <c r="P183">
        <v>1080.8499999999999</v>
      </c>
      <c r="Q183">
        <v>101.34</v>
      </c>
      <c r="R183">
        <v>35</v>
      </c>
      <c r="S183">
        <v>3.49</v>
      </c>
      <c r="X183">
        <v>42960.29</v>
      </c>
      <c r="AA183">
        <v>4.3099999999999996</v>
      </c>
      <c r="AC183">
        <v>28.09667673716012</v>
      </c>
    </row>
    <row r="184" spans="1:29" x14ac:dyDescent="0.3">
      <c r="A184" t="s">
        <v>203</v>
      </c>
      <c r="B184" t="s">
        <v>727</v>
      </c>
      <c r="C184" t="s">
        <v>728</v>
      </c>
      <c r="E184">
        <v>85000</v>
      </c>
      <c r="F184" t="s">
        <v>729</v>
      </c>
      <c r="G184" t="s">
        <v>730</v>
      </c>
      <c r="I184">
        <v>258000</v>
      </c>
      <c r="J184">
        <v>183000</v>
      </c>
      <c r="K184">
        <v>268000</v>
      </c>
      <c r="L184">
        <v>155000</v>
      </c>
      <c r="M184">
        <v>50402.570000000007</v>
      </c>
      <c r="N184">
        <v>104597.43</v>
      </c>
      <c r="O184">
        <v>103000</v>
      </c>
      <c r="P184">
        <v>668.06</v>
      </c>
      <c r="Q184">
        <v>126.46</v>
      </c>
      <c r="R184">
        <v>35</v>
      </c>
      <c r="S184">
        <v>6</v>
      </c>
      <c r="X184">
        <v>31857.360000000001</v>
      </c>
      <c r="AA184">
        <v>19.03</v>
      </c>
      <c r="AC184">
        <v>59.458360465116279</v>
      </c>
    </row>
    <row r="185" spans="1:29" x14ac:dyDescent="0.3">
      <c r="A185" t="s">
        <v>204</v>
      </c>
      <c r="B185" t="s">
        <v>727</v>
      </c>
      <c r="C185" t="s">
        <v>731</v>
      </c>
      <c r="E185">
        <v>85000</v>
      </c>
      <c r="F185" t="s">
        <v>729</v>
      </c>
      <c r="G185" t="s">
        <v>730</v>
      </c>
      <c r="I185">
        <v>260000</v>
      </c>
      <c r="J185">
        <v>184000</v>
      </c>
      <c r="K185">
        <v>269000</v>
      </c>
      <c r="L185">
        <v>155000</v>
      </c>
      <c r="M185">
        <v>58336.03</v>
      </c>
      <c r="N185">
        <v>96663.97</v>
      </c>
      <c r="O185">
        <v>95000</v>
      </c>
      <c r="P185">
        <v>499.24</v>
      </c>
      <c r="Q185">
        <v>210.74</v>
      </c>
      <c r="R185">
        <v>35</v>
      </c>
      <c r="S185">
        <v>6.125</v>
      </c>
      <c r="X185">
        <v>37344</v>
      </c>
      <c r="AA185">
        <v>19.03</v>
      </c>
      <c r="AC185">
        <v>62.821550000000002</v>
      </c>
    </row>
    <row r="186" spans="1:29" x14ac:dyDescent="0.3">
      <c r="A186" t="s">
        <v>205</v>
      </c>
      <c r="B186" t="s">
        <v>727</v>
      </c>
      <c r="C186" t="s">
        <v>732</v>
      </c>
      <c r="E186">
        <v>85000</v>
      </c>
      <c r="F186" t="s">
        <v>729</v>
      </c>
      <c r="G186" t="s">
        <v>730</v>
      </c>
      <c r="I186">
        <v>260000</v>
      </c>
      <c r="J186">
        <v>184000</v>
      </c>
      <c r="K186">
        <v>269000</v>
      </c>
      <c r="L186">
        <v>155000</v>
      </c>
      <c r="M186">
        <v>50699.570000000007</v>
      </c>
      <c r="N186">
        <v>104300.43</v>
      </c>
      <c r="O186">
        <v>81500</v>
      </c>
      <c r="P186">
        <v>502</v>
      </c>
      <c r="Q186">
        <v>209.25</v>
      </c>
      <c r="R186">
        <v>35</v>
      </c>
      <c r="S186">
        <v>6.375</v>
      </c>
      <c r="X186">
        <v>46724.54</v>
      </c>
      <c r="AA186">
        <v>19.02</v>
      </c>
      <c r="AC186">
        <v>59.884450000000001</v>
      </c>
    </row>
    <row r="187" spans="1:29" x14ac:dyDescent="0.3">
      <c r="A187" t="s">
        <v>206</v>
      </c>
      <c r="B187" t="s">
        <v>733</v>
      </c>
      <c r="C187" t="s">
        <v>734</v>
      </c>
      <c r="E187">
        <v>54393.09</v>
      </c>
      <c r="F187" t="s">
        <v>735</v>
      </c>
      <c r="G187" t="s">
        <v>690</v>
      </c>
      <c r="I187">
        <v>112000</v>
      </c>
      <c r="J187">
        <v>85800</v>
      </c>
      <c r="K187">
        <v>120800</v>
      </c>
      <c r="L187">
        <v>90000</v>
      </c>
      <c r="M187">
        <v>156.60000000000579</v>
      </c>
      <c r="N187">
        <v>89843.4</v>
      </c>
      <c r="O187">
        <v>88800</v>
      </c>
      <c r="P187">
        <v>620.9</v>
      </c>
      <c r="Q187">
        <v>124.53</v>
      </c>
      <c r="R187">
        <v>35</v>
      </c>
      <c r="S187">
        <v>7.5</v>
      </c>
      <c r="X187">
        <v>39934</v>
      </c>
      <c r="AA187">
        <v>5.08</v>
      </c>
      <c r="AC187">
        <v>19.78267857142858</v>
      </c>
    </row>
    <row r="188" spans="1:29" x14ac:dyDescent="0.3">
      <c r="A188" t="s">
        <v>206</v>
      </c>
      <c r="C188" t="s">
        <v>736</v>
      </c>
      <c r="N188">
        <v>117250</v>
      </c>
    </row>
    <row r="189" spans="1:29" x14ac:dyDescent="0.3">
      <c r="A189" t="s">
        <v>206</v>
      </c>
      <c r="C189" t="s">
        <v>737</v>
      </c>
      <c r="I189">
        <v>215000</v>
      </c>
      <c r="J189">
        <v>155000</v>
      </c>
      <c r="K189">
        <v>225000</v>
      </c>
      <c r="L189">
        <v>145000</v>
      </c>
      <c r="N189">
        <v>121221.96</v>
      </c>
      <c r="P189">
        <v>756.59</v>
      </c>
      <c r="R189">
        <v>35</v>
      </c>
      <c r="AC189">
        <v>43.617693023255811</v>
      </c>
    </row>
    <row r="190" spans="1:29" x14ac:dyDescent="0.3">
      <c r="A190" t="s">
        <v>206</v>
      </c>
      <c r="C190" t="s">
        <v>738</v>
      </c>
      <c r="I190">
        <v>220500</v>
      </c>
      <c r="J190">
        <v>125000</v>
      </c>
      <c r="K190">
        <v>235000</v>
      </c>
      <c r="L190">
        <v>180000</v>
      </c>
      <c r="N190">
        <v>130000</v>
      </c>
      <c r="O190">
        <v>130000</v>
      </c>
      <c r="P190">
        <v>678.14</v>
      </c>
      <c r="R190">
        <v>35</v>
      </c>
      <c r="S190">
        <v>4.75</v>
      </c>
      <c r="AC190">
        <v>41.043083900226762</v>
      </c>
    </row>
    <row r="191" spans="1:29" x14ac:dyDescent="0.3">
      <c r="A191" t="s">
        <v>207</v>
      </c>
      <c r="B191" t="s">
        <v>739</v>
      </c>
      <c r="C191" t="s">
        <v>740</v>
      </c>
      <c r="J191">
        <v>0</v>
      </c>
      <c r="L191">
        <v>310000</v>
      </c>
      <c r="M191">
        <v>310000</v>
      </c>
      <c r="O191">
        <v>288000</v>
      </c>
      <c r="P191">
        <v>1914.14</v>
      </c>
      <c r="Q191">
        <v>196.3</v>
      </c>
      <c r="R191">
        <v>35</v>
      </c>
      <c r="S191">
        <v>6.99</v>
      </c>
      <c r="X191">
        <v>82624.289999999994</v>
      </c>
      <c r="AA191">
        <v>1.83</v>
      </c>
    </row>
    <row r="192" spans="1:29" x14ac:dyDescent="0.3">
      <c r="A192" t="s">
        <v>209</v>
      </c>
      <c r="B192" t="s">
        <v>741</v>
      </c>
      <c r="C192" t="s">
        <v>742</v>
      </c>
      <c r="E192">
        <v>104836.18</v>
      </c>
      <c r="F192" t="s">
        <v>743</v>
      </c>
      <c r="G192" t="s">
        <v>690</v>
      </c>
      <c r="I192">
        <v>195000</v>
      </c>
      <c r="J192">
        <v>210000</v>
      </c>
      <c r="K192">
        <v>210000</v>
      </c>
      <c r="L192">
        <v>165000</v>
      </c>
      <c r="M192">
        <v>15000</v>
      </c>
      <c r="N192">
        <v>150000</v>
      </c>
      <c r="O192">
        <v>150100</v>
      </c>
      <c r="P192">
        <v>703.68</v>
      </c>
      <c r="Q192">
        <v>122.85</v>
      </c>
      <c r="R192">
        <v>35</v>
      </c>
      <c r="S192">
        <v>3.85</v>
      </c>
      <c r="X192">
        <v>35768.74</v>
      </c>
      <c r="AA192">
        <v>7.92</v>
      </c>
      <c r="AC192">
        <v>23.07692307692307</v>
      </c>
    </row>
    <row r="193" spans="1:29" x14ac:dyDescent="0.3">
      <c r="A193" t="s">
        <v>210</v>
      </c>
      <c r="B193" t="s">
        <v>744</v>
      </c>
      <c r="C193" t="s">
        <v>745</v>
      </c>
      <c r="E193">
        <v>63660</v>
      </c>
      <c r="F193" t="s">
        <v>735</v>
      </c>
      <c r="G193" t="s">
        <v>690</v>
      </c>
      <c r="I193">
        <v>145000</v>
      </c>
      <c r="J193">
        <v>121800</v>
      </c>
      <c r="K193">
        <v>153800</v>
      </c>
      <c r="L193">
        <v>110500</v>
      </c>
      <c r="M193">
        <v>34641.410000000003</v>
      </c>
      <c r="N193">
        <v>75858.59</v>
      </c>
      <c r="P193">
        <v>450</v>
      </c>
      <c r="Q193">
        <v>111.51</v>
      </c>
      <c r="R193">
        <v>35</v>
      </c>
      <c r="X193">
        <v>31360</v>
      </c>
      <c r="AA193">
        <v>6.55</v>
      </c>
      <c r="AC193">
        <v>47.683731034482747</v>
      </c>
    </row>
    <row r="194" spans="1:29" x14ac:dyDescent="0.3">
      <c r="A194" t="s">
        <v>210</v>
      </c>
      <c r="C194" t="s">
        <v>746</v>
      </c>
    </row>
    <row r="195" spans="1:29" x14ac:dyDescent="0.3">
      <c r="A195" t="s">
        <v>210</v>
      </c>
      <c r="C195" t="s">
        <v>747</v>
      </c>
      <c r="I195">
        <v>181000</v>
      </c>
      <c r="J195">
        <v>162000</v>
      </c>
      <c r="K195">
        <v>194000</v>
      </c>
      <c r="L195">
        <v>155000</v>
      </c>
      <c r="N195">
        <v>155000</v>
      </c>
      <c r="O195">
        <v>150350</v>
      </c>
      <c r="P195">
        <v>750.68</v>
      </c>
      <c r="R195">
        <v>35</v>
      </c>
      <c r="S195">
        <v>4.375</v>
      </c>
      <c r="AC195">
        <v>14.3646408839779</v>
      </c>
    </row>
    <row r="196" spans="1:29" x14ac:dyDescent="0.3">
      <c r="A196" t="s">
        <v>210</v>
      </c>
      <c r="C196" t="s">
        <v>748</v>
      </c>
      <c r="I196">
        <v>407000</v>
      </c>
      <c r="J196">
        <v>255000</v>
      </c>
      <c r="K196">
        <v>430000</v>
      </c>
      <c r="L196">
        <v>290000</v>
      </c>
      <c r="N196">
        <v>268000</v>
      </c>
      <c r="O196">
        <v>267000</v>
      </c>
      <c r="P196">
        <v>1143.76</v>
      </c>
      <c r="R196">
        <v>35</v>
      </c>
      <c r="S196">
        <v>3.125</v>
      </c>
      <c r="AC196">
        <v>34.152334152334149</v>
      </c>
    </row>
    <row r="197" spans="1:29" x14ac:dyDescent="0.3">
      <c r="A197" t="s">
        <v>212</v>
      </c>
      <c r="B197" t="s">
        <v>749</v>
      </c>
      <c r="C197" t="s">
        <v>750</v>
      </c>
      <c r="J197">
        <v>0</v>
      </c>
      <c r="L197">
        <v>300000</v>
      </c>
      <c r="M197">
        <v>300000</v>
      </c>
      <c r="O197">
        <v>263750</v>
      </c>
      <c r="P197">
        <v>1415.87</v>
      </c>
      <c r="Q197">
        <v>171.44</v>
      </c>
      <c r="R197">
        <v>35</v>
      </c>
      <c r="S197">
        <v>5</v>
      </c>
      <c r="X197">
        <v>56054.83</v>
      </c>
      <c r="AA197">
        <v>2.4500000000000002</v>
      </c>
    </row>
    <row r="198" spans="1:29" x14ac:dyDescent="0.3">
      <c r="A198" t="s">
        <v>213</v>
      </c>
      <c r="B198" t="s">
        <v>751</v>
      </c>
      <c r="C198" t="s">
        <v>752</v>
      </c>
      <c r="I198">
        <v>327000</v>
      </c>
      <c r="J198">
        <v>190000</v>
      </c>
      <c r="K198">
        <v>340000</v>
      </c>
      <c r="L198">
        <v>270000</v>
      </c>
      <c r="M198">
        <v>37000</v>
      </c>
      <c r="N198">
        <v>233000</v>
      </c>
      <c r="O198">
        <v>229000</v>
      </c>
      <c r="P198">
        <v>965.47</v>
      </c>
      <c r="Q198">
        <v>116.56</v>
      </c>
      <c r="R198">
        <v>35</v>
      </c>
      <c r="S198">
        <v>3</v>
      </c>
      <c r="X198">
        <v>42260.92</v>
      </c>
      <c r="AA198">
        <v>3.25</v>
      </c>
      <c r="AC198">
        <v>28.74617737003058</v>
      </c>
    </row>
    <row r="199" spans="1:29" x14ac:dyDescent="0.3">
      <c r="A199" t="s">
        <v>214</v>
      </c>
      <c r="B199" t="s">
        <v>753</v>
      </c>
      <c r="C199" t="s">
        <v>754</v>
      </c>
      <c r="E199">
        <v>57547.09</v>
      </c>
      <c r="F199" t="s">
        <v>735</v>
      </c>
      <c r="G199" t="s">
        <v>690</v>
      </c>
      <c r="I199">
        <v>112000</v>
      </c>
      <c r="J199">
        <v>80800</v>
      </c>
      <c r="K199">
        <v>120800</v>
      </c>
      <c r="L199">
        <v>87000</v>
      </c>
      <c r="M199">
        <v>601.14999999999418</v>
      </c>
      <c r="N199">
        <v>86398.85</v>
      </c>
      <c r="P199">
        <v>570.03</v>
      </c>
      <c r="Q199">
        <v>120.97</v>
      </c>
      <c r="R199">
        <v>35</v>
      </c>
      <c r="X199">
        <v>33190</v>
      </c>
      <c r="AA199">
        <v>23.63</v>
      </c>
      <c r="AC199">
        <v>22.858169642857138</v>
      </c>
    </row>
    <row r="200" spans="1:29" x14ac:dyDescent="0.3">
      <c r="A200" t="s">
        <v>215</v>
      </c>
      <c r="B200" t="s">
        <v>750</v>
      </c>
      <c r="C200" t="s">
        <v>755</v>
      </c>
      <c r="I200">
        <v>320000</v>
      </c>
      <c r="J200">
        <v>249000</v>
      </c>
      <c r="K200">
        <v>334000</v>
      </c>
      <c r="L200">
        <v>280000</v>
      </c>
      <c r="M200">
        <v>64000</v>
      </c>
      <c r="N200">
        <v>216000</v>
      </c>
      <c r="O200">
        <v>214150</v>
      </c>
      <c r="P200">
        <v>1182.54</v>
      </c>
      <c r="Q200">
        <v>156.56</v>
      </c>
      <c r="R200">
        <v>35</v>
      </c>
      <c r="S200">
        <v>5.25</v>
      </c>
      <c r="X200">
        <v>59680.53</v>
      </c>
      <c r="AA200">
        <v>2.23</v>
      </c>
      <c r="AC200">
        <v>32.499999999999993</v>
      </c>
    </row>
    <row r="201" spans="1:29" x14ac:dyDescent="0.3">
      <c r="A201" t="s">
        <v>216</v>
      </c>
      <c r="B201" t="s">
        <v>756</v>
      </c>
      <c r="C201" t="s">
        <v>757</v>
      </c>
      <c r="I201">
        <v>365000</v>
      </c>
      <c r="J201">
        <v>333000</v>
      </c>
      <c r="K201">
        <v>373000</v>
      </c>
      <c r="L201">
        <v>280000</v>
      </c>
      <c r="M201">
        <v>35000</v>
      </c>
      <c r="N201">
        <v>245000</v>
      </c>
      <c r="O201">
        <v>240800</v>
      </c>
      <c r="P201">
        <v>1541.87</v>
      </c>
      <c r="Q201">
        <v>243.61</v>
      </c>
      <c r="R201">
        <v>35</v>
      </c>
      <c r="S201">
        <v>6.625</v>
      </c>
      <c r="X201">
        <v>93734.13</v>
      </c>
      <c r="AA201">
        <v>0.13</v>
      </c>
      <c r="AC201">
        <v>32.87671232876712</v>
      </c>
    </row>
    <row r="202" spans="1:29" x14ac:dyDescent="0.3">
      <c r="A202" t="s">
        <v>218</v>
      </c>
      <c r="B202" t="s">
        <v>758</v>
      </c>
      <c r="C202" t="s">
        <v>759</v>
      </c>
      <c r="I202">
        <v>317000</v>
      </c>
      <c r="J202">
        <v>245000</v>
      </c>
      <c r="K202">
        <v>340000</v>
      </c>
      <c r="L202">
        <v>275000</v>
      </c>
      <c r="M202">
        <v>0</v>
      </c>
      <c r="N202">
        <v>275000</v>
      </c>
      <c r="O202">
        <v>180000</v>
      </c>
      <c r="P202">
        <v>795.77</v>
      </c>
      <c r="Q202">
        <v>118.09</v>
      </c>
      <c r="R202">
        <v>35</v>
      </c>
      <c r="S202">
        <v>3.375</v>
      </c>
      <c r="X202">
        <v>37831.24</v>
      </c>
      <c r="AA202">
        <v>3.75</v>
      </c>
      <c r="AC202">
        <v>13.249211356466869</v>
      </c>
    </row>
    <row r="203" spans="1:29" x14ac:dyDescent="0.3">
      <c r="A203" t="s">
        <v>219</v>
      </c>
      <c r="B203" t="s">
        <v>760</v>
      </c>
      <c r="C203" t="s">
        <v>761</v>
      </c>
      <c r="I203">
        <v>346000</v>
      </c>
      <c r="J203">
        <v>225000</v>
      </c>
      <c r="K203">
        <v>355000</v>
      </c>
      <c r="L203">
        <v>265000</v>
      </c>
      <c r="M203">
        <v>109000</v>
      </c>
      <c r="N203">
        <v>156000</v>
      </c>
      <c r="O203">
        <v>154750</v>
      </c>
      <c r="P203">
        <v>903.08</v>
      </c>
      <c r="Q203">
        <v>173.35</v>
      </c>
      <c r="R203">
        <v>35</v>
      </c>
      <c r="S203">
        <v>5.75</v>
      </c>
      <c r="X203">
        <v>36230.92</v>
      </c>
      <c r="AA203">
        <v>1.97</v>
      </c>
      <c r="AC203">
        <v>54.913294797687861</v>
      </c>
    </row>
    <row r="204" spans="1:29" x14ac:dyDescent="0.3">
      <c r="A204" t="s">
        <v>220</v>
      </c>
      <c r="B204" t="s">
        <v>762</v>
      </c>
      <c r="C204" t="s">
        <v>763</v>
      </c>
      <c r="E204">
        <v>80007.67</v>
      </c>
      <c r="F204" t="s">
        <v>711</v>
      </c>
      <c r="G204" t="s">
        <v>690</v>
      </c>
      <c r="I204">
        <v>245000</v>
      </c>
      <c r="J204">
        <v>170000</v>
      </c>
      <c r="K204">
        <v>255000</v>
      </c>
      <c r="L204">
        <v>136000</v>
      </c>
      <c r="M204">
        <v>54565.86</v>
      </c>
      <c r="N204">
        <v>81434.14</v>
      </c>
      <c r="O204">
        <v>85000</v>
      </c>
      <c r="P204">
        <v>562.54</v>
      </c>
      <c r="Q204">
        <v>105.83</v>
      </c>
      <c r="R204">
        <v>35</v>
      </c>
      <c r="S204">
        <v>6.5</v>
      </c>
      <c r="U204">
        <v>35000</v>
      </c>
      <c r="V204" t="s">
        <v>690</v>
      </c>
      <c r="W204" t="s">
        <v>712</v>
      </c>
      <c r="X204">
        <v>26452.32</v>
      </c>
      <c r="AA204">
        <v>19.27</v>
      </c>
      <c r="AC204">
        <v>66.761575510204068</v>
      </c>
    </row>
    <row r="205" spans="1:29" x14ac:dyDescent="0.3">
      <c r="A205" t="s">
        <v>221</v>
      </c>
      <c r="B205" t="s">
        <v>764</v>
      </c>
      <c r="C205" t="s">
        <v>765</v>
      </c>
      <c r="E205">
        <v>134725.03</v>
      </c>
      <c r="F205" t="s">
        <v>726</v>
      </c>
      <c r="G205" t="s">
        <v>690</v>
      </c>
      <c r="I205">
        <v>215000</v>
      </c>
      <c r="J205">
        <v>169856</v>
      </c>
      <c r="K205">
        <v>240000</v>
      </c>
      <c r="L205">
        <v>190000</v>
      </c>
      <c r="M205">
        <v>10000</v>
      </c>
      <c r="N205">
        <v>180000</v>
      </c>
      <c r="O205">
        <v>172000</v>
      </c>
      <c r="P205">
        <v>713.62</v>
      </c>
      <c r="Q205">
        <v>93.31</v>
      </c>
      <c r="R205">
        <v>35</v>
      </c>
      <c r="S205">
        <v>2.875</v>
      </c>
      <c r="X205">
        <v>35551.65</v>
      </c>
      <c r="AA205">
        <v>4.7699999999999996</v>
      </c>
      <c r="AC205">
        <v>16.279069767441861</v>
      </c>
    </row>
    <row r="206" spans="1:29" x14ac:dyDescent="0.3">
      <c r="A206" t="s">
        <v>222</v>
      </c>
      <c r="B206" t="s">
        <v>766</v>
      </c>
      <c r="C206" t="s">
        <v>767</v>
      </c>
      <c r="E206">
        <v>43594.65</v>
      </c>
      <c r="F206" t="s">
        <v>694</v>
      </c>
      <c r="G206" t="s">
        <v>690</v>
      </c>
      <c r="I206">
        <v>154000</v>
      </c>
      <c r="J206">
        <v>119000</v>
      </c>
      <c r="K206">
        <v>164000</v>
      </c>
      <c r="L206">
        <v>135500</v>
      </c>
      <c r="M206">
        <v>15924.38</v>
      </c>
      <c r="N206">
        <v>119575.62</v>
      </c>
      <c r="O206">
        <v>120000</v>
      </c>
      <c r="P206">
        <v>758.48</v>
      </c>
      <c r="Q206">
        <v>150</v>
      </c>
      <c r="R206">
        <v>35</v>
      </c>
      <c r="S206">
        <v>6.5</v>
      </c>
      <c r="U206">
        <v>62905.35</v>
      </c>
      <c r="V206" t="s">
        <v>690</v>
      </c>
      <c r="W206" t="s">
        <v>768</v>
      </c>
      <c r="X206">
        <v>39964.699999999997</v>
      </c>
      <c r="AA206">
        <v>16.98</v>
      </c>
      <c r="AC206">
        <v>22.3534935064935</v>
      </c>
    </row>
    <row r="207" spans="1:29" x14ac:dyDescent="0.3">
      <c r="A207" t="s">
        <v>223</v>
      </c>
      <c r="B207" t="s">
        <v>769</v>
      </c>
      <c r="C207" t="s">
        <v>770</v>
      </c>
      <c r="E207">
        <v>87174.79</v>
      </c>
      <c r="F207" t="s">
        <v>771</v>
      </c>
      <c r="G207" t="s">
        <v>690</v>
      </c>
      <c r="I207">
        <v>205000</v>
      </c>
      <c r="J207">
        <v>143000</v>
      </c>
      <c r="K207">
        <v>218000</v>
      </c>
      <c r="L207">
        <v>175000</v>
      </c>
      <c r="M207">
        <v>15000</v>
      </c>
      <c r="N207">
        <v>160000</v>
      </c>
      <c r="O207">
        <v>160500</v>
      </c>
      <c r="P207">
        <v>837.24</v>
      </c>
      <c r="Q207">
        <v>118.17</v>
      </c>
      <c r="R207">
        <v>35</v>
      </c>
      <c r="S207">
        <v>4.75</v>
      </c>
      <c r="X207">
        <v>51669.2</v>
      </c>
      <c r="AA207">
        <v>7.2</v>
      </c>
      <c r="AC207">
        <v>21.95121951219512</v>
      </c>
    </row>
    <row r="208" spans="1:29" x14ac:dyDescent="0.3">
      <c r="A208" t="s">
        <v>224</v>
      </c>
      <c r="B208" t="s">
        <v>772</v>
      </c>
      <c r="C208" t="s">
        <v>773</v>
      </c>
      <c r="I208">
        <v>336000</v>
      </c>
      <c r="J208">
        <v>260000</v>
      </c>
      <c r="K208">
        <v>350000</v>
      </c>
      <c r="L208">
        <v>260000</v>
      </c>
      <c r="M208">
        <v>22000</v>
      </c>
      <c r="N208">
        <v>238000</v>
      </c>
      <c r="O208">
        <v>224000</v>
      </c>
      <c r="P208">
        <v>1134.98</v>
      </c>
      <c r="Q208">
        <v>109.5</v>
      </c>
      <c r="R208">
        <v>35</v>
      </c>
      <c r="S208">
        <v>4.5</v>
      </c>
      <c r="X208">
        <v>44600.46</v>
      </c>
      <c r="AA208">
        <v>3.45</v>
      </c>
      <c r="AC208">
        <v>29.166666666666661</v>
      </c>
    </row>
    <row r="209" spans="1:29" x14ac:dyDescent="0.3">
      <c r="A209" t="s">
        <v>226</v>
      </c>
      <c r="B209" t="s">
        <v>774</v>
      </c>
      <c r="C209" t="s">
        <v>775</v>
      </c>
      <c r="I209">
        <v>161500</v>
      </c>
      <c r="J209">
        <v>130000</v>
      </c>
      <c r="K209">
        <v>176000</v>
      </c>
      <c r="L209">
        <v>161500</v>
      </c>
      <c r="M209">
        <v>51940.09</v>
      </c>
      <c r="N209">
        <v>109559.91</v>
      </c>
      <c r="O209">
        <v>111500</v>
      </c>
      <c r="P209">
        <v>540.38</v>
      </c>
      <c r="Q209">
        <v>174.12</v>
      </c>
      <c r="R209">
        <v>35</v>
      </c>
      <c r="S209">
        <v>4.125</v>
      </c>
      <c r="X209">
        <v>34300.54</v>
      </c>
      <c r="AA209">
        <v>12.42</v>
      </c>
      <c r="AC209">
        <v>32.161046439628493</v>
      </c>
    </row>
    <row r="210" spans="1:29" x14ac:dyDescent="0.3">
      <c r="A210" t="s">
        <v>227</v>
      </c>
      <c r="B210" t="s">
        <v>776</v>
      </c>
      <c r="C210" t="s">
        <v>777</v>
      </c>
      <c r="E210">
        <v>57175</v>
      </c>
      <c r="F210" t="s">
        <v>700</v>
      </c>
      <c r="G210" t="s">
        <v>690</v>
      </c>
      <c r="I210">
        <v>160000</v>
      </c>
      <c r="J210">
        <v>134000</v>
      </c>
      <c r="K210">
        <v>169000</v>
      </c>
      <c r="L210">
        <v>133000</v>
      </c>
      <c r="M210">
        <v>26579.72</v>
      </c>
      <c r="N210">
        <v>106420.28</v>
      </c>
      <c r="O210">
        <v>107375</v>
      </c>
      <c r="P210">
        <v>647.51</v>
      </c>
      <c r="Q210">
        <v>140.65</v>
      </c>
      <c r="R210">
        <v>35</v>
      </c>
      <c r="S210">
        <v>6.25</v>
      </c>
      <c r="X210">
        <v>46722</v>
      </c>
      <c r="AA210">
        <v>20.96</v>
      </c>
      <c r="AC210">
        <v>33.487324999999998</v>
      </c>
    </row>
    <row r="211" spans="1:29" x14ac:dyDescent="0.3">
      <c r="A211" t="s">
        <v>228</v>
      </c>
      <c r="B211" t="s">
        <v>778</v>
      </c>
      <c r="C211" t="s">
        <v>779</v>
      </c>
      <c r="E211">
        <v>74890.19</v>
      </c>
      <c r="F211" t="s">
        <v>735</v>
      </c>
      <c r="G211" t="s">
        <v>690</v>
      </c>
      <c r="I211">
        <v>143000</v>
      </c>
      <c r="J211">
        <v>110200</v>
      </c>
      <c r="K211">
        <v>150200</v>
      </c>
      <c r="L211">
        <v>116182</v>
      </c>
      <c r="M211">
        <v>27969.439999999999</v>
      </c>
      <c r="N211">
        <v>88212.56</v>
      </c>
      <c r="O211">
        <v>87848</v>
      </c>
      <c r="P211">
        <v>555.08000000000004</v>
      </c>
      <c r="Q211">
        <v>133.59</v>
      </c>
      <c r="R211">
        <v>35</v>
      </c>
      <c r="S211">
        <v>6.75</v>
      </c>
      <c r="X211">
        <v>33298.83</v>
      </c>
      <c r="AA211">
        <v>22.38</v>
      </c>
      <c r="AC211">
        <v>38.312895104895112</v>
      </c>
    </row>
    <row r="212" spans="1:29" x14ac:dyDescent="0.3">
      <c r="A212" t="s">
        <v>229</v>
      </c>
      <c r="B212" t="s">
        <v>780</v>
      </c>
      <c r="C212" t="s">
        <v>781</v>
      </c>
      <c r="I212">
        <v>371200</v>
      </c>
      <c r="J212">
        <v>305000</v>
      </c>
      <c r="K212">
        <v>380000</v>
      </c>
      <c r="L212">
        <v>280000</v>
      </c>
      <c r="M212">
        <v>35000</v>
      </c>
      <c r="N212">
        <v>245000</v>
      </c>
      <c r="O212">
        <v>245095</v>
      </c>
      <c r="P212">
        <v>1371.7</v>
      </c>
      <c r="Q212">
        <v>248.63</v>
      </c>
      <c r="R212">
        <v>35</v>
      </c>
      <c r="S212">
        <v>5.37</v>
      </c>
      <c r="X212">
        <v>63994.76</v>
      </c>
      <c r="AA212">
        <v>0.64</v>
      </c>
      <c r="AC212">
        <v>33.997844827586214</v>
      </c>
    </row>
    <row r="213" spans="1:29" x14ac:dyDescent="0.3">
      <c r="A213" t="s">
        <v>230</v>
      </c>
      <c r="B213" t="s">
        <v>782</v>
      </c>
      <c r="C213" t="s">
        <v>783</v>
      </c>
      <c r="E213">
        <v>7091.56</v>
      </c>
      <c r="F213" t="s">
        <v>784</v>
      </c>
      <c r="G213" t="s">
        <v>690</v>
      </c>
      <c r="I213">
        <v>168000</v>
      </c>
      <c r="J213">
        <v>135000</v>
      </c>
      <c r="K213">
        <v>185000</v>
      </c>
      <c r="L213">
        <v>145000</v>
      </c>
      <c r="M213">
        <v>18000</v>
      </c>
      <c r="N213">
        <v>127000</v>
      </c>
      <c r="O213">
        <v>126350</v>
      </c>
      <c r="P213">
        <v>612.35</v>
      </c>
      <c r="Q213">
        <v>141.63</v>
      </c>
      <c r="R213">
        <v>35</v>
      </c>
      <c r="S213">
        <v>4.125</v>
      </c>
      <c r="U213">
        <v>91645.66</v>
      </c>
      <c r="V213" t="s">
        <v>690</v>
      </c>
      <c r="W213" t="s">
        <v>785</v>
      </c>
      <c r="X213">
        <v>30060.23</v>
      </c>
      <c r="AA213">
        <v>10.49</v>
      </c>
      <c r="AC213">
        <v>24.404761904761909</v>
      </c>
    </row>
    <row r="214" spans="1:29" x14ac:dyDescent="0.3">
      <c r="A214" t="s">
        <v>231</v>
      </c>
      <c r="B214" t="s">
        <v>786</v>
      </c>
      <c r="C214" t="s">
        <v>787</v>
      </c>
      <c r="I214">
        <v>351000</v>
      </c>
      <c r="J214">
        <v>185000</v>
      </c>
      <c r="K214">
        <v>360000</v>
      </c>
      <c r="L214">
        <v>240000</v>
      </c>
      <c r="M214">
        <v>67000</v>
      </c>
      <c r="N214">
        <v>173000</v>
      </c>
      <c r="O214">
        <v>170195</v>
      </c>
      <c r="P214">
        <v>952.51</v>
      </c>
      <c r="Q214">
        <v>179.1</v>
      </c>
      <c r="R214">
        <v>35</v>
      </c>
      <c r="S214">
        <v>5.37</v>
      </c>
      <c r="X214">
        <v>71956.23</v>
      </c>
      <c r="AC214">
        <v>50.712250712250707</v>
      </c>
    </row>
    <row r="215" spans="1:29" x14ac:dyDescent="0.3">
      <c r="A215" t="s">
        <v>232</v>
      </c>
      <c r="B215" t="s">
        <v>788</v>
      </c>
      <c r="C215" t="s">
        <v>789</v>
      </c>
      <c r="E215">
        <v>101950.88</v>
      </c>
      <c r="F215" t="s">
        <v>790</v>
      </c>
      <c r="G215" t="s">
        <v>690</v>
      </c>
      <c r="I215">
        <v>215000</v>
      </c>
      <c r="J215">
        <v>152000</v>
      </c>
      <c r="K215">
        <v>227000</v>
      </c>
      <c r="L215">
        <v>175000</v>
      </c>
      <c r="M215">
        <v>15000</v>
      </c>
      <c r="N215">
        <v>160000</v>
      </c>
      <c r="O215">
        <v>160000</v>
      </c>
      <c r="P215">
        <v>871.18</v>
      </c>
      <c r="Q215">
        <v>128.08000000000001</v>
      </c>
      <c r="R215">
        <v>35</v>
      </c>
      <c r="S215">
        <v>5.125</v>
      </c>
      <c r="X215">
        <v>43005.3</v>
      </c>
      <c r="AA215">
        <v>6.93</v>
      </c>
      <c r="AC215">
        <v>25.581395348837209</v>
      </c>
    </row>
    <row r="216" spans="1:29" x14ac:dyDescent="0.3">
      <c r="A216" t="s">
        <v>233</v>
      </c>
      <c r="B216" t="s">
        <v>791</v>
      </c>
      <c r="C216" t="s">
        <v>792</v>
      </c>
      <c r="E216">
        <v>90637.81</v>
      </c>
      <c r="F216" t="s">
        <v>793</v>
      </c>
      <c r="G216" t="s">
        <v>690</v>
      </c>
      <c r="I216">
        <v>181500</v>
      </c>
      <c r="J216">
        <v>84000</v>
      </c>
      <c r="K216">
        <v>195000</v>
      </c>
      <c r="L216">
        <v>159000</v>
      </c>
      <c r="M216">
        <v>9000</v>
      </c>
      <c r="N216">
        <v>150000</v>
      </c>
      <c r="O216">
        <v>150750</v>
      </c>
      <c r="P216">
        <v>772.81</v>
      </c>
      <c r="Q216">
        <v>116.18</v>
      </c>
      <c r="R216">
        <v>35</v>
      </c>
      <c r="S216">
        <v>4.5999999999999996</v>
      </c>
      <c r="X216">
        <v>41644.839999999997</v>
      </c>
      <c r="AA216">
        <v>8.6300000000000008</v>
      </c>
      <c r="AC216">
        <v>17.355371900826441</v>
      </c>
    </row>
    <row r="217" spans="1:29" x14ac:dyDescent="0.3">
      <c r="A217" t="s">
        <v>235</v>
      </c>
      <c r="B217" t="s">
        <v>794</v>
      </c>
      <c r="C217" t="s">
        <v>795</v>
      </c>
      <c r="I217">
        <v>353500</v>
      </c>
      <c r="J217">
        <v>260000</v>
      </c>
      <c r="K217">
        <v>365000</v>
      </c>
      <c r="L217">
        <v>325000</v>
      </c>
      <c r="M217">
        <v>35000</v>
      </c>
      <c r="N217">
        <v>290000</v>
      </c>
      <c r="O217">
        <v>289500</v>
      </c>
      <c r="P217">
        <v>1554.1</v>
      </c>
      <c r="Q217">
        <v>167.98</v>
      </c>
      <c r="R217">
        <v>35</v>
      </c>
      <c r="S217">
        <v>5</v>
      </c>
      <c r="X217">
        <v>69005.39</v>
      </c>
      <c r="AA217">
        <v>2.64</v>
      </c>
      <c r="AC217">
        <v>17.96322489391796</v>
      </c>
    </row>
    <row r="218" spans="1:29" x14ac:dyDescent="0.3">
      <c r="A218" t="s">
        <v>237</v>
      </c>
      <c r="B218" t="s">
        <v>796</v>
      </c>
      <c r="C218" t="s">
        <v>797</v>
      </c>
      <c r="I218">
        <v>370000</v>
      </c>
      <c r="J218">
        <v>380000</v>
      </c>
      <c r="K218">
        <v>380000</v>
      </c>
      <c r="L218">
        <v>285000</v>
      </c>
      <c r="M218">
        <v>35000</v>
      </c>
      <c r="N218">
        <v>250000</v>
      </c>
      <c r="O218">
        <v>256500</v>
      </c>
      <c r="P218">
        <v>1771.58</v>
      </c>
      <c r="Q218">
        <v>163.79</v>
      </c>
      <c r="R218">
        <v>35</v>
      </c>
      <c r="S218">
        <v>7.375</v>
      </c>
      <c r="X218">
        <v>89385.84</v>
      </c>
      <c r="AA218">
        <v>2.0299999999999998</v>
      </c>
      <c r="AC218">
        <v>32.432432432432442</v>
      </c>
    </row>
    <row r="219" spans="1:29" x14ac:dyDescent="0.3">
      <c r="A219" t="s">
        <v>238</v>
      </c>
      <c r="B219" t="s">
        <v>798</v>
      </c>
      <c r="C219" t="s">
        <v>799</v>
      </c>
      <c r="E219">
        <v>97224.04</v>
      </c>
      <c r="F219" t="s">
        <v>800</v>
      </c>
      <c r="G219" t="s">
        <v>690</v>
      </c>
      <c r="I219">
        <v>145800</v>
      </c>
      <c r="J219">
        <v>115000</v>
      </c>
      <c r="K219">
        <v>160000</v>
      </c>
      <c r="L219">
        <v>144000</v>
      </c>
      <c r="M219">
        <v>12820.13</v>
      </c>
      <c r="N219">
        <v>131179.87</v>
      </c>
      <c r="O219">
        <v>135000</v>
      </c>
      <c r="P219">
        <v>674.04</v>
      </c>
      <c r="Q219">
        <v>142.24</v>
      </c>
      <c r="R219">
        <v>35</v>
      </c>
      <c r="S219">
        <v>4.375</v>
      </c>
      <c r="X219">
        <v>46694</v>
      </c>
      <c r="AA219">
        <v>10.84</v>
      </c>
      <c r="AC219">
        <v>10.027524005486979</v>
      </c>
    </row>
    <row r="220" spans="1:29" x14ac:dyDescent="0.3">
      <c r="A220" t="s">
        <v>241</v>
      </c>
      <c r="B220" t="s">
        <v>801</v>
      </c>
      <c r="C220" t="s">
        <v>802</v>
      </c>
      <c r="J220">
        <v>0</v>
      </c>
      <c r="L220">
        <v>300000</v>
      </c>
      <c r="M220">
        <v>300000</v>
      </c>
      <c r="O220">
        <v>240000</v>
      </c>
      <c r="P220">
        <v>1477.72</v>
      </c>
      <c r="Q220">
        <v>236.27</v>
      </c>
      <c r="R220">
        <v>35</v>
      </c>
      <c r="S220">
        <v>6.25</v>
      </c>
      <c r="X220">
        <v>65479.47</v>
      </c>
      <c r="AA220">
        <v>1.57</v>
      </c>
    </row>
    <row r="221" spans="1:29" x14ac:dyDescent="0.3">
      <c r="A221" t="s">
        <v>243</v>
      </c>
      <c r="B221" t="s">
        <v>803</v>
      </c>
      <c r="C221" t="s">
        <v>804</v>
      </c>
      <c r="E221">
        <v>42671.44</v>
      </c>
      <c r="F221" t="s">
        <v>720</v>
      </c>
      <c r="G221" t="s">
        <v>690</v>
      </c>
      <c r="I221">
        <v>164000</v>
      </c>
      <c r="J221">
        <v>140000</v>
      </c>
      <c r="K221">
        <v>175000</v>
      </c>
      <c r="L221">
        <v>163688</v>
      </c>
      <c r="M221">
        <v>9000</v>
      </c>
      <c r="N221">
        <v>154688</v>
      </c>
      <c r="O221">
        <v>154277</v>
      </c>
      <c r="P221">
        <v>758.95</v>
      </c>
      <c r="Q221">
        <v>77.37</v>
      </c>
      <c r="R221">
        <v>35</v>
      </c>
      <c r="S221">
        <v>4.25</v>
      </c>
      <c r="X221">
        <v>42000</v>
      </c>
      <c r="AA221">
        <v>7.12</v>
      </c>
      <c r="AC221">
        <v>5.6780487804878099</v>
      </c>
    </row>
    <row r="222" spans="1:29" x14ac:dyDescent="0.3">
      <c r="A222" t="s">
        <v>243</v>
      </c>
      <c r="C222" t="s">
        <v>805</v>
      </c>
      <c r="I222">
        <v>256000</v>
      </c>
      <c r="J222">
        <v>270000</v>
      </c>
      <c r="K222">
        <v>270000</v>
      </c>
      <c r="L222">
        <v>203700</v>
      </c>
      <c r="N222">
        <v>188700</v>
      </c>
      <c r="O222">
        <v>189200</v>
      </c>
      <c r="P222">
        <v>958.65</v>
      </c>
      <c r="R222">
        <v>35</v>
      </c>
      <c r="S222">
        <v>4.5</v>
      </c>
      <c r="AC222">
        <v>26.2890625</v>
      </c>
    </row>
    <row r="223" spans="1:29" x14ac:dyDescent="0.3">
      <c r="A223" t="s">
        <v>244</v>
      </c>
      <c r="B223" t="s">
        <v>806</v>
      </c>
      <c r="C223" t="s">
        <v>807</v>
      </c>
      <c r="E223">
        <v>78327.56</v>
      </c>
      <c r="F223" t="s">
        <v>720</v>
      </c>
      <c r="G223" t="s">
        <v>690</v>
      </c>
      <c r="I223">
        <v>140000</v>
      </c>
      <c r="J223">
        <v>131000</v>
      </c>
      <c r="K223">
        <v>153000</v>
      </c>
      <c r="L223">
        <v>134000</v>
      </c>
      <c r="M223">
        <v>1206.5400000000079</v>
      </c>
      <c r="N223">
        <v>132793.46</v>
      </c>
      <c r="O223">
        <v>124000</v>
      </c>
      <c r="P223">
        <v>665.66</v>
      </c>
      <c r="Q223">
        <v>132.19999999999999</v>
      </c>
      <c r="R223">
        <v>35</v>
      </c>
      <c r="S223">
        <v>5</v>
      </c>
      <c r="X223">
        <v>68467.490000000005</v>
      </c>
      <c r="AA223">
        <v>15.02</v>
      </c>
      <c r="AC223">
        <v>5.1475285714285723</v>
      </c>
    </row>
    <row r="224" spans="1:29" x14ac:dyDescent="0.3">
      <c r="A224" t="s">
        <v>245</v>
      </c>
      <c r="B224" t="s">
        <v>808</v>
      </c>
      <c r="C224" t="s">
        <v>808</v>
      </c>
      <c r="E224">
        <v>60000</v>
      </c>
      <c r="F224" t="s">
        <v>809</v>
      </c>
      <c r="G224" t="s">
        <v>690</v>
      </c>
      <c r="I224">
        <v>163000</v>
      </c>
      <c r="J224">
        <v>176000</v>
      </c>
      <c r="K224">
        <v>176000</v>
      </c>
      <c r="L224">
        <v>115550</v>
      </c>
      <c r="M224">
        <v>45000</v>
      </c>
      <c r="N224">
        <v>70550</v>
      </c>
      <c r="O224">
        <v>70550</v>
      </c>
      <c r="P224">
        <v>434.39</v>
      </c>
      <c r="Q224">
        <v>42.12</v>
      </c>
      <c r="R224">
        <v>35</v>
      </c>
      <c r="S224">
        <v>6.25</v>
      </c>
      <c r="X224">
        <v>28154</v>
      </c>
      <c r="AA224">
        <v>12.78</v>
      </c>
      <c r="AC224">
        <v>56.717791411042938</v>
      </c>
    </row>
    <row r="225" spans="1:29" x14ac:dyDescent="0.3">
      <c r="A225" t="s">
        <v>246</v>
      </c>
      <c r="B225" t="s">
        <v>810</v>
      </c>
      <c r="C225" t="s">
        <v>811</v>
      </c>
      <c r="E225">
        <v>95500</v>
      </c>
      <c r="F225" t="s">
        <v>812</v>
      </c>
      <c r="G225" t="s">
        <v>690</v>
      </c>
      <c r="I225">
        <v>125000</v>
      </c>
      <c r="J225">
        <v>103300</v>
      </c>
      <c r="K225">
        <v>133800</v>
      </c>
      <c r="L225">
        <v>103435</v>
      </c>
      <c r="M225">
        <v>1161.9499999999971</v>
      </c>
      <c r="N225">
        <v>102273.05</v>
      </c>
      <c r="P225">
        <v>603.75</v>
      </c>
      <c r="Q225">
        <v>120.96</v>
      </c>
      <c r="R225">
        <v>35</v>
      </c>
      <c r="U225">
        <v>30500</v>
      </c>
      <c r="V225" t="s">
        <v>690</v>
      </c>
      <c r="W225" t="s">
        <v>813</v>
      </c>
      <c r="X225">
        <v>31000</v>
      </c>
      <c r="AA225">
        <v>7.37</v>
      </c>
      <c r="AC225">
        <v>18.181560000000001</v>
      </c>
    </row>
    <row r="226" spans="1:29" x14ac:dyDescent="0.3">
      <c r="A226" t="s">
        <v>246</v>
      </c>
      <c r="C226" t="s">
        <v>814</v>
      </c>
    </row>
    <row r="227" spans="1:29" x14ac:dyDescent="0.3">
      <c r="A227" t="s">
        <v>246</v>
      </c>
      <c r="C227" t="s">
        <v>815</v>
      </c>
      <c r="I227">
        <v>230400</v>
      </c>
      <c r="J227">
        <v>130000</v>
      </c>
      <c r="K227">
        <v>245000</v>
      </c>
      <c r="L227">
        <v>160000</v>
      </c>
      <c r="N227">
        <v>156804.43</v>
      </c>
      <c r="O227">
        <v>155200</v>
      </c>
      <c r="P227">
        <v>772.6</v>
      </c>
      <c r="R227">
        <v>35</v>
      </c>
      <c r="S227">
        <v>4.3499999999999996</v>
      </c>
      <c r="AC227">
        <v>31.942521701388891</v>
      </c>
    </row>
    <row r="228" spans="1:29" x14ac:dyDescent="0.3">
      <c r="A228" t="s">
        <v>247</v>
      </c>
      <c r="B228" t="s">
        <v>816</v>
      </c>
      <c r="C228" t="s">
        <v>817</v>
      </c>
      <c r="I228">
        <v>250000</v>
      </c>
      <c r="J228">
        <v>190000</v>
      </c>
      <c r="K228">
        <v>260000</v>
      </c>
      <c r="L228">
        <v>115500</v>
      </c>
      <c r="M228">
        <v>15574</v>
      </c>
      <c r="N228">
        <v>99926</v>
      </c>
      <c r="P228">
        <v>291.08</v>
      </c>
      <c r="Q228">
        <v>97.58</v>
      </c>
      <c r="X228">
        <v>33424.79</v>
      </c>
      <c r="AA228">
        <v>17.77</v>
      </c>
      <c r="AC228">
        <v>60.029599999999988</v>
      </c>
    </row>
    <row r="229" spans="1:29" x14ac:dyDescent="0.3">
      <c r="A229" t="s">
        <v>248</v>
      </c>
      <c r="B229" t="s">
        <v>818</v>
      </c>
      <c r="C229" t="s">
        <v>819</v>
      </c>
      <c r="I229">
        <v>129000</v>
      </c>
      <c r="J229">
        <v>103000</v>
      </c>
      <c r="K229">
        <v>138000</v>
      </c>
      <c r="L229">
        <v>105000</v>
      </c>
      <c r="M229">
        <v>37627.39</v>
      </c>
      <c r="N229">
        <v>67372.61</v>
      </c>
      <c r="P229">
        <v>383.71</v>
      </c>
      <c r="Q229">
        <v>139.13999999999999</v>
      </c>
      <c r="R229">
        <v>35</v>
      </c>
      <c r="X229">
        <v>22248</v>
      </c>
      <c r="AA229">
        <v>7.99</v>
      </c>
      <c r="AC229">
        <v>47.773170542635647</v>
      </c>
    </row>
    <row r="230" spans="1:29" x14ac:dyDescent="0.3">
      <c r="A230" t="s">
        <v>248</v>
      </c>
      <c r="C230" t="s">
        <v>820</v>
      </c>
    </row>
    <row r="231" spans="1:29" x14ac:dyDescent="0.3">
      <c r="A231" t="s">
        <v>248</v>
      </c>
      <c r="C231" t="s">
        <v>821</v>
      </c>
      <c r="I231">
        <v>149500</v>
      </c>
      <c r="J231">
        <v>105000</v>
      </c>
      <c r="K231">
        <v>160000</v>
      </c>
      <c r="L231">
        <v>140000</v>
      </c>
      <c r="N231">
        <v>98722.75</v>
      </c>
      <c r="O231">
        <v>102500</v>
      </c>
      <c r="P231">
        <v>519.36</v>
      </c>
      <c r="R231">
        <v>35</v>
      </c>
      <c r="S231">
        <v>4.5</v>
      </c>
      <c r="AC231">
        <v>33.964715719063541</v>
      </c>
    </row>
    <row r="232" spans="1:29" x14ac:dyDescent="0.3">
      <c r="A232" t="s">
        <v>250</v>
      </c>
      <c r="B232" t="s">
        <v>822</v>
      </c>
      <c r="C232" t="s">
        <v>822</v>
      </c>
      <c r="E232">
        <v>44257</v>
      </c>
      <c r="F232" t="s">
        <v>823</v>
      </c>
      <c r="G232" t="s">
        <v>730</v>
      </c>
      <c r="I232">
        <v>236000</v>
      </c>
      <c r="J232">
        <v>172000</v>
      </c>
      <c r="K232">
        <v>256000</v>
      </c>
      <c r="L232">
        <v>170000</v>
      </c>
      <c r="M232">
        <v>32000</v>
      </c>
      <c r="N232">
        <v>138000</v>
      </c>
      <c r="O232">
        <v>138000</v>
      </c>
      <c r="P232">
        <v>545.27</v>
      </c>
      <c r="Q232">
        <v>187.67</v>
      </c>
      <c r="R232">
        <v>35</v>
      </c>
      <c r="S232">
        <v>2.5</v>
      </c>
      <c r="U232">
        <v>52871</v>
      </c>
      <c r="V232" t="s">
        <v>730</v>
      </c>
      <c r="W232" t="s">
        <v>824</v>
      </c>
      <c r="X232">
        <v>40704.949999999997</v>
      </c>
      <c r="AA232">
        <v>3.9</v>
      </c>
      <c r="AC232">
        <v>41.525423728813557</v>
      </c>
    </row>
    <row r="233" spans="1:29" x14ac:dyDescent="0.3">
      <c r="A233" t="s">
        <v>251</v>
      </c>
      <c r="B233" t="s">
        <v>825</v>
      </c>
      <c r="C233" t="s">
        <v>825</v>
      </c>
      <c r="I233">
        <v>207000</v>
      </c>
      <c r="J233">
        <v>133000</v>
      </c>
      <c r="K233">
        <v>228000</v>
      </c>
      <c r="L233">
        <v>180000</v>
      </c>
      <c r="M233">
        <v>0</v>
      </c>
      <c r="N233">
        <v>180000</v>
      </c>
      <c r="O233">
        <v>50000</v>
      </c>
      <c r="P233">
        <v>217.6</v>
      </c>
      <c r="Q233">
        <v>243.75</v>
      </c>
      <c r="R233">
        <v>35</v>
      </c>
      <c r="S233">
        <v>3.25</v>
      </c>
      <c r="X233">
        <v>42699.62</v>
      </c>
      <c r="AA233">
        <v>3.69</v>
      </c>
      <c r="AC233">
        <v>13.04347826086957</v>
      </c>
    </row>
    <row r="234" spans="1:29" x14ac:dyDescent="0.3">
      <c r="A234" t="s">
        <v>252</v>
      </c>
      <c r="B234" t="s">
        <v>822</v>
      </c>
      <c r="C234" t="s">
        <v>822</v>
      </c>
      <c r="E234">
        <v>97128</v>
      </c>
      <c r="F234" t="s">
        <v>823</v>
      </c>
      <c r="G234" t="s">
        <v>730</v>
      </c>
      <c r="I234">
        <v>233000</v>
      </c>
      <c r="J234">
        <v>174000</v>
      </c>
      <c r="K234">
        <v>258000</v>
      </c>
      <c r="L234">
        <v>170000</v>
      </c>
      <c r="M234">
        <v>22000</v>
      </c>
      <c r="N234">
        <v>148000</v>
      </c>
      <c r="O234">
        <v>148000</v>
      </c>
      <c r="P234">
        <v>594.44000000000005</v>
      </c>
      <c r="Q234">
        <v>168.42</v>
      </c>
      <c r="R234">
        <v>35</v>
      </c>
      <c r="S234">
        <v>2.625</v>
      </c>
      <c r="X234">
        <v>36211.86</v>
      </c>
      <c r="AA234">
        <v>3.9</v>
      </c>
      <c r="AC234">
        <v>36.480686695278983</v>
      </c>
    </row>
    <row r="235" spans="1:29" x14ac:dyDescent="0.3">
      <c r="A235" t="s">
        <v>253</v>
      </c>
      <c r="B235" t="s">
        <v>826</v>
      </c>
      <c r="C235" t="s">
        <v>827</v>
      </c>
      <c r="I235">
        <v>561000</v>
      </c>
      <c r="J235">
        <v>440000</v>
      </c>
      <c r="K235">
        <v>570000</v>
      </c>
      <c r="L235">
        <v>172000</v>
      </c>
      <c r="M235">
        <v>65000</v>
      </c>
      <c r="N235">
        <v>107000</v>
      </c>
      <c r="O235">
        <v>30000</v>
      </c>
      <c r="P235">
        <v>184.72</v>
      </c>
      <c r="Q235">
        <v>310.61</v>
      </c>
      <c r="R235">
        <v>35</v>
      </c>
      <c r="S235">
        <v>6.25</v>
      </c>
      <c r="X235">
        <v>25555.37</v>
      </c>
      <c r="AA235">
        <v>1.41</v>
      </c>
      <c r="AC235">
        <v>80.926916221033878</v>
      </c>
    </row>
    <row r="236" spans="1:29" x14ac:dyDescent="0.3">
      <c r="A236" t="s">
        <v>254</v>
      </c>
      <c r="B236" t="s">
        <v>772</v>
      </c>
      <c r="C236" t="s">
        <v>772</v>
      </c>
      <c r="E236">
        <v>97128</v>
      </c>
      <c r="F236" t="s">
        <v>823</v>
      </c>
      <c r="G236" t="s">
        <v>730</v>
      </c>
      <c r="I236">
        <v>213000</v>
      </c>
      <c r="J236">
        <v>213000</v>
      </c>
      <c r="K236">
        <v>235000</v>
      </c>
      <c r="L236">
        <v>170000</v>
      </c>
      <c r="M236">
        <v>22000</v>
      </c>
      <c r="N236">
        <v>148000</v>
      </c>
      <c r="O236">
        <v>70000</v>
      </c>
      <c r="P236">
        <v>295.12</v>
      </c>
      <c r="Q236">
        <v>132</v>
      </c>
      <c r="S236">
        <v>3</v>
      </c>
      <c r="X236">
        <v>24284.18</v>
      </c>
      <c r="AA236">
        <v>3.89</v>
      </c>
      <c r="AC236">
        <v>30.516431924882621</v>
      </c>
    </row>
    <row r="237" spans="1:29" x14ac:dyDescent="0.3">
      <c r="A237" t="s">
        <v>255</v>
      </c>
      <c r="B237" t="s">
        <v>822</v>
      </c>
      <c r="C237" t="s">
        <v>822</v>
      </c>
      <c r="I237">
        <v>236000</v>
      </c>
      <c r="J237">
        <v>256000</v>
      </c>
      <c r="K237">
        <v>256000</v>
      </c>
      <c r="L237">
        <v>210000</v>
      </c>
      <c r="M237">
        <v>10000</v>
      </c>
      <c r="N237">
        <v>200000</v>
      </c>
      <c r="O237">
        <v>188800</v>
      </c>
      <c r="P237">
        <v>745.99</v>
      </c>
      <c r="Q237">
        <v>169.34</v>
      </c>
      <c r="R237">
        <v>35</v>
      </c>
      <c r="S237">
        <v>2.5</v>
      </c>
      <c r="X237">
        <v>60938.77</v>
      </c>
      <c r="AA237">
        <v>3.9</v>
      </c>
      <c r="AC237">
        <v>15.254237288135601</v>
      </c>
    </row>
    <row r="238" spans="1:29" x14ac:dyDescent="0.3">
      <c r="A238" t="s">
        <v>256</v>
      </c>
      <c r="B238" t="s">
        <v>828</v>
      </c>
      <c r="C238" t="s">
        <v>828</v>
      </c>
      <c r="I238">
        <v>276000</v>
      </c>
      <c r="J238">
        <v>199000</v>
      </c>
      <c r="K238">
        <v>294000</v>
      </c>
      <c r="L238">
        <v>210000</v>
      </c>
      <c r="M238">
        <v>10000</v>
      </c>
      <c r="N238">
        <v>200000</v>
      </c>
      <c r="O238">
        <v>110000</v>
      </c>
      <c r="P238">
        <v>456.38</v>
      </c>
      <c r="Q238">
        <v>182.42</v>
      </c>
      <c r="S238">
        <v>2.875</v>
      </c>
      <c r="X238">
        <v>24984.58</v>
      </c>
      <c r="AA238">
        <v>3.65</v>
      </c>
      <c r="AC238">
        <v>27.536231884057969</v>
      </c>
    </row>
    <row r="239" spans="1:29" x14ac:dyDescent="0.3">
      <c r="A239" t="s">
        <v>257</v>
      </c>
      <c r="B239" t="s">
        <v>748</v>
      </c>
      <c r="C239" t="s">
        <v>748</v>
      </c>
      <c r="I239">
        <v>225000</v>
      </c>
      <c r="J239">
        <v>150000</v>
      </c>
      <c r="K239">
        <v>245000</v>
      </c>
      <c r="L239">
        <v>210000</v>
      </c>
      <c r="M239">
        <v>0</v>
      </c>
      <c r="N239">
        <v>210000</v>
      </c>
      <c r="O239">
        <v>202650</v>
      </c>
      <c r="P239">
        <v>854.38</v>
      </c>
      <c r="Q239">
        <v>126.58</v>
      </c>
      <c r="R239">
        <v>35</v>
      </c>
      <c r="S239">
        <v>3</v>
      </c>
      <c r="X239">
        <v>58908</v>
      </c>
      <c r="AA239">
        <v>3.9</v>
      </c>
      <c r="AC239">
        <v>6.6666666666666652</v>
      </c>
    </row>
    <row r="240" spans="1:29" x14ac:dyDescent="0.3">
      <c r="A240" t="s">
        <v>258</v>
      </c>
      <c r="B240" t="s">
        <v>829</v>
      </c>
      <c r="C240" t="s">
        <v>830</v>
      </c>
      <c r="I240">
        <v>376000</v>
      </c>
      <c r="J240">
        <v>260000</v>
      </c>
      <c r="K240">
        <v>385000</v>
      </c>
      <c r="L240">
        <v>290000</v>
      </c>
      <c r="M240">
        <v>67000</v>
      </c>
      <c r="N240">
        <v>223000</v>
      </c>
      <c r="O240">
        <v>220500</v>
      </c>
      <c r="P240">
        <v>1251.97</v>
      </c>
      <c r="Q240">
        <v>209.91</v>
      </c>
      <c r="R240">
        <v>35</v>
      </c>
      <c r="S240">
        <v>5.5</v>
      </c>
      <c r="X240">
        <v>65777.69</v>
      </c>
      <c r="AA240">
        <v>0.32</v>
      </c>
      <c r="AC240">
        <v>40.691489361702118</v>
      </c>
    </row>
    <row r="241" spans="1:29" x14ac:dyDescent="0.3">
      <c r="A241" t="s">
        <v>259</v>
      </c>
      <c r="B241" t="s">
        <v>831</v>
      </c>
      <c r="C241" t="s">
        <v>831</v>
      </c>
      <c r="I241">
        <v>233000</v>
      </c>
      <c r="J241">
        <v>236000</v>
      </c>
      <c r="K241">
        <v>258000</v>
      </c>
      <c r="L241">
        <v>210000</v>
      </c>
      <c r="M241">
        <v>10000</v>
      </c>
      <c r="N241">
        <v>200000</v>
      </c>
      <c r="O241">
        <v>186400</v>
      </c>
      <c r="P241">
        <v>736.51</v>
      </c>
      <c r="Q241">
        <v>170.52</v>
      </c>
      <c r="S241">
        <v>2.5</v>
      </c>
      <c r="X241">
        <v>70522.63</v>
      </c>
      <c r="AA241">
        <v>3.83</v>
      </c>
      <c r="AC241">
        <v>14.163090128755361</v>
      </c>
    </row>
    <row r="242" spans="1:29" x14ac:dyDescent="0.3">
      <c r="A242" t="s">
        <v>260</v>
      </c>
      <c r="B242" t="s">
        <v>832</v>
      </c>
      <c r="C242" t="s">
        <v>833</v>
      </c>
      <c r="E242">
        <v>88632.7</v>
      </c>
      <c r="F242" t="s">
        <v>784</v>
      </c>
      <c r="G242" t="s">
        <v>690</v>
      </c>
      <c r="I242">
        <v>159000</v>
      </c>
      <c r="J242">
        <v>136000</v>
      </c>
      <c r="K242">
        <v>170000</v>
      </c>
      <c r="L242">
        <v>110800</v>
      </c>
      <c r="M242">
        <v>16672.009999999991</v>
      </c>
      <c r="N242">
        <v>94127.99</v>
      </c>
      <c r="O242">
        <v>80300</v>
      </c>
      <c r="P242">
        <v>395.03</v>
      </c>
      <c r="Q242">
        <v>161.79</v>
      </c>
      <c r="R242">
        <v>35</v>
      </c>
      <c r="S242">
        <v>4.25</v>
      </c>
      <c r="X242">
        <v>27141.51</v>
      </c>
      <c r="AA242">
        <v>14</v>
      </c>
      <c r="AC242">
        <v>40.800006289308179</v>
      </c>
    </row>
    <row r="243" spans="1:29" x14ac:dyDescent="0.3">
      <c r="A243" t="s">
        <v>261</v>
      </c>
      <c r="B243" t="s">
        <v>834</v>
      </c>
      <c r="C243" t="s">
        <v>835</v>
      </c>
      <c r="I243">
        <v>363000</v>
      </c>
      <c r="J243">
        <v>240000</v>
      </c>
      <c r="K243">
        <v>375000</v>
      </c>
      <c r="L243">
        <v>290000</v>
      </c>
      <c r="M243">
        <v>57000</v>
      </c>
      <c r="N243">
        <v>233000</v>
      </c>
      <c r="O243">
        <v>232440</v>
      </c>
      <c r="P243">
        <v>1109.7</v>
      </c>
      <c r="Q243">
        <v>122.44</v>
      </c>
      <c r="R243">
        <v>35</v>
      </c>
      <c r="S243">
        <v>4</v>
      </c>
      <c r="X243">
        <v>48741.24</v>
      </c>
      <c r="AA243">
        <v>3.1</v>
      </c>
      <c r="AC243">
        <v>35.812672176308538</v>
      </c>
    </row>
    <row r="244" spans="1:29" x14ac:dyDescent="0.3">
      <c r="A244" t="s">
        <v>263</v>
      </c>
      <c r="B244" t="s">
        <v>822</v>
      </c>
      <c r="C244" t="s">
        <v>822</v>
      </c>
      <c r="E244">
        <v>97128</v>
      </c>
      <c r="F244" t="s">
        <v>823</v>
      </c>
      <c r="G244" t="s">
        <v>730</v>
      </c>
      <c r="I244">
        <v>233000</v>
      </c>
      <c r="J244">
        <v>258000</v>
      </c>
      <c r="K244">
        <v>258000</v>
      </c>
      <c r="L244">
        <v>170000</v>
      </c>
      <c r="M244">
        <v>32000</v>
      </c>
      <c r="N244">
        <v>138000</v>
      </c>
      <c r="O244">
        <v>138000</v>
      </c>
      <c r="P244">
        <v>554.28</v>
      </c>
      <c r="Q244">
        <v>143.44</v>
      </c>
      <c r="R244">
        <v>35</v>
      </c>
      <c r="S244">
        <v>2.625</v>
      </c>
      <c r="X244">
        <v>34052.160000000003</v>
      </c>
      <c r="AA244">
        <v>3.9</v>
      </c>
      <c r="AC244">
        <v>40.772532188841197</v>
      </c>
    </row>
    <row r="245" spans="1:29" x14ac:dyDescent="0.3">
      <c r="A245" t="s">
        <v>264</v>
      </c>
      <c r="B245" t="s">
        <v>822</v>
      </c>
      <c r="C245" t="s">
        <v>822</v>
      </c>
      <c r="E245">
        <v>97128</v>
      </c>
      <c r="F245" t="s">
        <v>823</v>
      </c>
      <c r="G245" t="s">
        <v>730</v>
      </c>
      <c r="I245">
        <v>258000</v>
      </c>
      <c r="J245">
        <v>279000</v>
      </c>
      <c r="K245">
        <v>279000</v>
      </c>
      <c r="L245">
        <v>170000</v>
      </c>
      <c r="M245">
        <v>22000</v>
      </c>
      <c r="N245">
        <v>148000</v>
      </c>
      <c r="O245">
        <v>148000</v>
      </c>
      <c r="P245">
        <v>594.44000000000005</v>
      </c>
      <c r="Q245">
        <v>200.02</v>
      </c>
      <c r="R245">
        <v>35</v>
      </c>
      <c r="S245">
        <v>2.625</v>
      </c>
      <c r="X245">
        <v>40020.769999999997</v>
      </c>
      <c r="AA245">
        <v>3.9</v>
      </c>
      <c r="AC245">
        <v>42.63565891472868</v>
      </c>
    </row>
    <row r="246" spans="1:29" x14ac:dyDescent="0.3">
      <c r="A246" t="s">
        <v>265</v>
      </c>
      <c r="B246" t="s">
        <v>822</v>
      </c>
      <c r="C246" t="s">
        <v>822</v>
      </c>
      <c r="E246">
        <v>97128</v>
      </c>
      <c r="F246" t="s">
        <v>823</v>
      </c>
      <c r="G246" t="s">
        <v>730</v>
      </c>
      <c r="I246">
        <v>225000</v>
      </c>
      <c r="J246">
        <v>150000</v>
      </c>
      <c r="K246">
        <v>245000</v>
      </c>
      <c r="L246">
        <v>170000</v>
      </c>
      <c r="M246">
        <v>22000</v>
      </c>
      <c r="N246">
        <v>148000</v>
      </c>
      <c r="O246">
        <v>148000</v>
      </c>
      <c r="P246">
        <v>634</v>
      </c>
      <c r="Q246">
        <v>133.36000000000001</v>
      </c>
      <c r="S246">
        <v>3.125</v>
      </c>
      <c r="X246">
        <v>48808.6</v>
      </c>
      <c r="AA246">
        <v>3.9</v>
      </c>
      <c r="AC246">
        <v>34.222222222222221</v>
      </c>
    </row>
    <row r="247" spans="1:29" x14ac:dyDescent="0.3">
      <c r="A247" t="s">
        <v>265</v>
      </c>
      <c r="C247" t="s">
        <v>836</v>
      </c>
      <c r="I247">
        <v>240000</v>
      </c>
      <c r="L247">
        <v>220000</v>
      </c>
      <c r="P247">
        <v>866.56</v>
      </c>
      <c r="R247">
        <v>35</v>
      </c>
      <c r="AC247">
        <v>100</v>
      </c>
    </row>
    <row r="248" spans="1:29" x14ac:dyDescent="0.3">
      <c r="A248" t="s">
        <v>266</v>
      </c>
      <c r="B248" t="s">
        <v>837</v>
      </c>
      <c r="C248" t="s">
        <v>837</v>
      </c>
      <c r="I248">
        <v>233000</v>
      </c>
      <c r="J248">
        <v>233000</v>
      </c>
      <c r="K248">
        <v>258000</v>
      </c>
      <c r="L248">
        <v>210000</v>
      </c>
      <c r="M248">
        <v>10000</v>
      </c>
      <c r="N248">
        <v>200000</v>
      </c>
      <c r="O248">
        <v>186400</v>
      </c>
      <c r="P248">
        <v>736.51</v>
      </c>
      <c r="Q248">
        <v>156.47999999999999</v>
      </c>
      <c r="S248">
        <v>2.5</v>
      </c>
      <c r="X248">
        <v>59177.2</v>
      </c>
      <c r="AA248">
        <v>3.88</v>
      </c>
      <c r="AC248">
        <v>14.163090128755361</v>
      </c>
    </row>
    <row r="249" spans="1:29" x14ac:dyDescent="0.3">
      <c r="A249" t="s">
        <v>268</v>
      </c>
      <c r="B249" t="s">
        <v>822</v>
      </c>
      <c r="C249" t="s">
        <v>822</v>
      </c>
      <c r="I249">
        <v>258000</v>
      </c>
      <c r="J249">
        <v>279000</v>
      </c>
      <c r="K249">
        <v>279000</v>
      </c>
      <c r="L249">
        <v>210000</v>
      </c>
      <c r="M249">
        <v>0</v>
      </c>
      <c r="N249">
        <v>210000</v>
      </c>
      <c r="O249">
        <v>175000</v>
      </c>
      <c r="P249">
        <v>691.46</v>
      </c>
      <c r="Q249">
        <v>181.75</v>
      </c>
      <c r="R249">
        <v>35</v>
      </c>
      <c r="S249">
        <v>2.5</v>
      </c>
      <c r="X249">
        <v>55080.65</v>
      </c>
      <c r="AA249">
        <v>3.9</v>
      </c>
      <c r="AC249">
        <v>18.604651162790699</v>
      </c>
    </row>
    <row r="250" spans="1:29" x14ac:dyDescent="0.3">
      <c r="A250" t="s">
        <v>269</v>
      </c>
      <c r="B250" t="s">
        <v>838</v>
      </c>
      <c r="C250" t="s">
        <v>839</v>
      </c>
      <c r="I250">
        <v>326000</v>
      </c>
      <c r="J250">
        <v>240000</v>
      </c>
      <c r="K250">
        <v>335000</v>
      </c>
      <c r="L250">
        <v>225000</v>
      </c>
      <c r="M250">
        <v>35000</v>
      </c>
      <c r="N250">
        <v>190000</v>
      </c>
      <c r="O250">
        <v>187600</v>
      </c>
      <c r="P250">
        <v>1185.76</v>
      </c>
      <c r="Q250">
        <v>132.46</v>
      </c>
      <c r="R250">
        <v>35</v>
      </c>
      <c r="S250">
        <v>6.5</v>
      </c>
      <c r="X250">
        <v>76533.31</v>
      </c>
      <c r="AA250">
        <v>1.91</v>
      </c>
      <c r="AC250">
        <v>41.717791411042953</v>
      </c>
    </row>
    <row r="251" spans="1:29" x14ac:dyDescent="0.3">
      <c r="A251" t="s">
        <v>270</v>
      </c>
      <c r="B251" t="s">
        <v>840</v>
      </c>
      <c r="C251" t="s">
        <v>841</v>
      </c>
      <c r="E251">
        <v>21000</v>
      </c>
      <c r="F251" t="s">
        <v>726</v>
      </c>
      <c r="G251" t="s">
        <v>690</v>
      </c>
      <c r="I251">
        <v>315465</v>
      </c>
      <c r="J251">
        <v>260000</v>
      </c>
      <c r="K251">
        <v>335000</v>
      </c>
      <c r="L251">
        <v>250000</v>
      </c>
      <c r="M251">
        <v>22000</v>
      </c>
      <c r="N251">
        <v>228000</v>
      </c>
      <c r="O251">
        <v>226500</v>
      </c>
      <c r="P251">
        <v>1010.78</v>
      </c>
      <c r="Q251">
        <v>177.01</v>
      </c>
      <c r="R251">
        <v>35</v>
      </c>
      <c r="S251">
        <v>3.45</v>
      </c>
      <c r="X251">
        <v>46420.88</v>
      </c>
      <c r="AA251">
        <v>4.38</v>
      </c>
      <c r="AC251">
        <v>27.725738195996389</v>
      </c>
    </row>
    <row r="252" spans="1:29" x14ac:dyDescent="0.3">
      <c r="A252" t="s">
        <v>271</v>
      </c>
      <c r="B252" t="s">
        <v>842</v>
      </c>
      <c r="C252" t="s">
        <v>843</v>
      </c>
      <c r="E252">
        <v>90590.87</v>
      </c>
      <c r="F252" t="s">
        <v>715</v>
      </c>
      <c r="G252" t="s">
        <v>690</v>
      </c>
      <c r="I252">
        <v>147000</v>
      </c>
      <c r="J252">
        <v>112000</v>
      </c>
      <c r="K252">
        <v>162000</v>
      </c>
      <c r="L252">
        <v>145000</v>
      </c>
      <c r="M252">
        <v>51051.06</v>
      </c>
      <c r="N252">
        <v>93948.94</v>
      </c>
      <c r="O252">
        <v>94000</v>
      </c>
      <c r="P252">
        <v>462.42</v>
      </c>
      <c r="Q252">
        <v>150.91999999999999</v>
      </c>
      <c r="R252">
        <v>35</v>
      </c>
      <c r="S252">
        <v>4.25</v>
      </c>
      <c r="X252">
        <v>35713</v>
      </c>
      <c r="AA252">
        <v>13.02</v>
      </c>
      <c r="AC252">
        <v>36.089156462585038</v>
      </c>
    </row>
    <row r="253" spans="1:29" x14ac:dyDescent="0.3">
      <c r="A253" t="s">
        <v>272</v>
      </c>
      <c r="B253" t="s">
        <v>844</v>
      </c>
      <c r="C253" t="s">
        <v>845</v>
      </c>
      <c r="E253">
        <v>86957.59</v>
      </c>
      <c r="F253" t="s">
        <v>846</v>
      </c>
      <c r="G253" t="s">
        <v>690</v>
      </c>
      <c r="I253">
        <v>163000</v>
      </c>
      <c r="J253">
        <v>145000</v>
      </c>
      <c r="K253">
        <v>175000</v>
      </c>
      <c r="L253">
        <v>145000</v>
      </c>
      <c r="M253">
        <v>47743.56</v>
      </c>
      <c r="N253">
        <v>97256.44</v>
      </c>
      <c r="O253">
        <v>97500</v>
      </c>
      <c r="P253">
        <v>523.41</v>
      </c>
      <c r="Q253">
        <v>160.19</v>
      </c>
      <c r="R253">
        <v>35</v>
      </c>
      <c r="S253">
        <v>5</v>
      </c>
      <c r="X253">
        <v>35497.39</v>
      </c>
      <c r="AA253">
        <v>9.99</v>
      </c>
      <c r="AC253">
        <v>40.333472392638043</v>
      </c>
    </row>
    <row r="254" spans="1:29" x14ac:dyDescent="0.3">
      <c r="A254" t="s">
        <v>273</v>
      </c>
      <c r="B254" t="s">
        <v>847</v>
      </c>
      <c r="C254" t="s">
        <v>825</v>
      </c>
      <c r="I254">
        <v>351000</v>
      </c>
      <c r="J254">
        <v>219000</v>
      </c>
      <c r="K254">
        <v>369000</v>
      </c>
      <c r="L254">
        <v>315000</v>
      </c>
      <c r="M254">
        <v>0</v>
      </c>
      <c r="N254">
        <v>315000</v>
      </c>
      <c r="O254">
        <v>305550</v>
      </c>
      <c r="P254">
        <v>1415.05</v>
      </c>
      <c r="Q254">
        <v>175.16</v>
      </c>
      <c r="R254">
        <v>35</v>
      </c>
      <c r="S254">
        <v>3.75</v>
      </c>
      <c r="X254">
        <v>62390.96</v>
      </c>
      <c r="AA254">
        <v>3.69</v>
      </c>
      <c r="AC254">
        <v>10.25641025641025</v>
      </c>
    </row>
    <row r="255" spans="1:29" x14ac:dyDescent="0.3">
      <c r="A255" t="s">
        <v>275</v>
      </c>
      <c r="C255" t="s">
        <v>848</v>
      </c>
      <c r="I255">
        <v>355000</v>
      </c>
      <c r="J255">
        <v>215000</v>
      </c>
      <c r="K255">
        <v>365000</v>
      </c>
      <c r="L255">
        <v>270000</v>
      </c>
      <c r="N255">
        <v>235000</v>
      </c>
      <c r="O255">
        <v>234600</v>
      </c>
      <c r="P255">
        <v>1313.69</v>
      </c>
      <c r="R255">
        <v>35</v>
      </c>
      <c r="S255">
        <v>5.375</v>
      </c>
      <c r="AC255">
        <v>33.802816901408448</v>
      </c>
    </row>
    <row r="256" spans="1:29" x14ac:dyDescent="0.3">
      <c r="A256" t="s">
        <v>277</v>
      </c>
      <c r="B256" t="s">
        <v>849</v>
      </c>
      <c r="C256" t="s">
        <v>850</v>
      </c>
      <c r="E256">
        <v>102901.78</v>
      </c>
      <c r="F256" t="s">
        <v>851</v>
      </c>
      <c r="G256" t="s">
        <v>690</v>
      </c>
      <c r="I256">
        <v>213000</v>
      </c>
      <c r="J256">
        <v>228000</v>
      </c>
      <c r="K256">
        <v>228000</v>
      </c>
      <c r="L256">
        <v>180000</v>
      </c>
      <c r="M256">
        <v>15000</v>
      </c>
      <c r="N256">
        <v>165000</v>
      </c>
      <c r="O256">
        <v>137200</v>
      </c>
      <c r="P256">
        <v>670.93</v>
      </c>
      <c r="Q256">
        <v>117.59</v>
      </c>
      <c r="R256">
        <v>35</v>
      </c>
      <c r="S256">
        <v>4.2</v>
      </c>
      <c r="U256">
        <v>22086.86</v>
      </c>
      <c r="V256" t="s">
        <v>690</v>
      </c>
      <c r="W256" t="s">
        <v>852</v>
      </c>
      <c r="X256">
        <v>33280</v>
      </c>
      <c r="AA256">
        <v>7.97</v>
      </c>
      <c r="AC256">
        <v>22.535211267605639</v>
      </c>
    </row>
    <row r="257" spans="1:29" x14ac:dyDescent="0.3">
      <c r="A257" t="s">
        <v>278</v>
      </c>
      <c r="C257" t="s">
        <v>796</v>
      </c>
      <c r="I257">
        <v>365000</v>
      </c>
      <c r="J257">
        <v>375000</v>
      </c>
      <c r="K257">
        <v>375000</v>
      </c>
      <c r="L257">
        <v>290000</v>
      </c>
      <c r="M257">
        <v>35000</v>
      </c>
      <c r="N257">
        <v>255000</v>
      </c>
      <c r="O257">
        <v>252000</v>
      </c>
      <c r="P257">
        <v>1391.55</v>
      </c>
      <c r="Q257">
        <v>166.49</v>
      </c>
      <c r="R257">
        <v>35</v>
      </c>
      <c r="S257">
        <v>5.25</v>
      </c>
      <c r="X257">
        <v>65230.91</v>
      </c>
      <c r="AA257">
        <v>2.16</v>
      </c>
      <c r="AC257">
        <v>30.136986301369859</v>
      </c>
    </row>
    <row r="258" spans="1:29" x14ac:dyDescent="0.3">
      <c r="A258" t="s">
        <v>280</v>
      </c>
      <c r="B258" t="s">
        <v>853</v>
      </c>
      <c r="C258" t="s">
        <v>854</v>
      </c>
      <c r="E258">
        <v>82745.710000000006</v>
      </c>
      <c r="F258" t="s">
        <v>784</v>
      </c>
      <c r="G258" t="s">
        <v>690</v>
      </c>
      <c r="I258">
        <v>142000</v>
      </c>
      <c r="J258">
        <v>120000</v>
      </c>
      <c r="K258">
        <v>155000</v>
      </c>
      <c r="L258">
        <v>120225</v>
      </c>
      <c r="M258">
        <v>16473.03999999999</v>
      </c>
      <c r="N258">
        <v>103751.96</v>
      </c>
      <c r="O258">
        <v>105500</v>
      </c>
      <c r="P258">
        <v>566.35</v>
      </c>
      <c r="Q258">
        <v>173.61</v>
      </c>
      <c r="R258">
        <v>35</v>
      </c>
      <c r="S258">
        <v>5</v>
      </c>
      <c r="X258">
        <v>31184.36</v>
      </c>
      <c r="AA258">
        <v>13.89</v>
      </c>
      <c r="AC258">
        <v>26.935239436619721</v>
      </c>
    </row>
    <row r="259" spans="1:29" x14ac:dyDescent="0.3">
      <c r="A259" t="s">
        <v>281</v>
      </c>
      <c r="B259" t="s">
        <v>855</v>
      </c>
      <c r="C259" t="s">
        <v>856</v>
      </c>
      <c r="I259">
        <v>388000</v>
      </c>
      <c r="J259">
        <v>305000</v>
      </c>
      <c r="K259">
        <v>400000</v>
      </c>
      <c r="L259">
        <v>325000</v>
      </c>
      <c r="M259">
        <v>35000</v>
      </c>
      <c r="N259">
        <v>290000</v>
      </c>
      <c r="O259">
        <v>291000</v>
      </c>
      <c r="P259">
        <v>1839.32</v>
      </c>
      <c r="Q259">
        <v>202.4</v>
      </c>
      <c r="R259">
        <v>35</v>
      </c>
      <c r="S259">
        <v>6.5</v>
      </c>
      <c r="X259">
        <v>95652.69</v>
      </c>
      <c r="AA259">
        <v>2.4700000000000002</v>
      </c>
      <c r="AC259">
        <v>25.257731958762889</v>
      </c>
    </row>
    <row r="260" spans="1:29" x14ac:dyDescent="0.3">
      <c r="A260" t="s">
        <v>282</v>
      </c>
      <c r="B260" t="s">
        <v>857</v>
      </c>
      <c r="C260" t="s">
        <v>858</v>
      </c>
      <c r="I260">
        <v>434000</v>
      </c>
      <c r="J260">
        <v>318000</v>
      </c>
      <c r="K260">
        <v>443000</v>
      </c>
      <c r="L260">
        <v>195000</v>
      </c>
      <c r="M260">
        <v>50000</v>
      </c>
      <c r="N260">
        <v>145000</v>
      </c>
      <c r="O260">
        <v>143500</v>
      </c>
      <c r="P260">
        <v>803.56</v>
      </c>
      <c r="Q260">
        <v>247.18</v>
      </c>
      <c r="R260">
        <v>35</v>
      </c>
      <c r="S260">
        <v>5.375</v>
      </c>
      <c r="X260">
        <v>48089.75</v>
      </c>
      <c r="AA260">
        <v>0.95</v>
      </c>
      <c r="AC260">
        <v>66.589861751152071</v>
      </c>
    </row>
    <row r="261" spans="1:29" x14ac:dyDescent="0.3">
      <c r="A261" t="s">
        <v>283</v>
      </c>
      <c r="B261" t="s">
        <v>859</v>
      </c>
      <c r="C261" t="s">
        <v>860</v>
      </c>
      <c r="E261">
        <v>89415.82</v>
      </c>
      <c r="F261" t="s">
        <v>784</v>
      </c>
      <c r="G261" t="s">
        <v>690</v>
      </c>
      <c r="I261">
        <v>125567</v>
      </c>
      <c r="J261">
        <v>125567</v>
      </c>
      <c r="K261">
        <v>140000</v>
      </c>
      <c r="L261">
        <v>114930</v>
      </c>
      <c r="M261">
        <v>8123.6999999999971</v>
      </c>
      <c r="N261">
        <v>106806.3</v>
      </c>
      <c r="O261">
        <v>109183</v>
      </c>
      <c r="P261">
        <v>537.11</v>
      </c>
      <c r="Q261">
        <v>152.30000000000001</v>
      </c>
      <c r="R261">
        <v>35</v>
      </c>
      <c r="S261">
        <v>4.25</v>
      </c>
      <c r="X261">
        <v>40126</v>
      </c>
      <c r="AA261">
        <v>2.2400000000000002</v>
      </c>
      <c r="AC261">
        <v>14.94078858298756</v>
      </c>
    </row>
    <row r="262" spans="1:29" x14ac:dyDescent="0.3">
      <c r="A262" t="s">
        <v>283</v>
      </c>
      <c r="C262">
        <v>42122</v>
      </c>
      <c r="I262">
        <v>190500</v>
      </c>
      <c r="J262">
        <v>156000</v>
      </c>
      <c r="K262">
        <v>206000</v>
      </c>
      <c r="L262">
        <v>165000</v>
      </c>
      <c r="N262">
        <v>150000</v>
      </c>
      <c r="O262">
        <v>150500</v>
      </c>
      <c r="P262">
        <v>729.4</v>
      </c>
      <c r="R262">
        <v>35</v>
      </c>
      <c r="S262">
        <v>4.125</v>
      </c>
      <c r="AC262">
        <v>21.25984251968503</v>
      </c>
    </row>
    <row r="263" spans="1:29" x14ac:dyDescent="0.3">
      <c r="A263" t="s">
        <v>284</v>
      </c>
      <c r="B263" t="s">
        <v>861</v>
      </c>
      <c r="C263" t="s">
        <v>862</v>
      </c>
      <c r="E263">
        <v>99278.97</v>
      </c>
      <c r="F263" t="s">
        <v>863</v>
      </c>
      <c r="G263" t="s">
        <v>690</v>
      </c>
      <c r="I263">
        <v>196000</v>
      </c>
      <c r="J263">
        <v>210000</v>
      </c>
      <c r="K263">
        <v>210000</v>
      </c>
      <c r="L263">
        <v>155000</v>
      </c>
      <c r="M263">
        <v>15000</v>
      </c>
      <c r="N263">
        <v>140000</v>
      </c>
      <c r="O263">
        <v>140500</v>
      </c>
      <c r="P263">
        <v>722.37</v>
      </c>
      <c r="Q263">
        <v>127.38</v>
      </c>
      <c r="R263">
        <v>35</v>
      </c>
      <c r="S263">
        <v>4.625</v>
      </c>
      <c r="X263">
        <v>37165.85</v>
      </c>
      <c r="AA263">
        <v>7.53</v>
      </c>
      <c r="AC263">
        <v>28.571428571428569</v>
      </c>
    </row>
    <row r="264" spans="1:29" x14ac:dyDescent="0.3">
      <c r="A264" t="s">
        <v>285</v>
      </c>
      <c r="B264" t="s">
        <v>864</v>
      </c>
      <c r="C264" t="s">
        <v>865</v>
      </c>
      <c r="E264">
        <v>83793.34</v>
      </c>
      <c r="F264" t="s">
        <v>720</v>
      </c>
      <c r="G264" t="s">
        <v>690</v>
      </c>
      <c r="I264">
        <v>152000</v>
      </c>
      <c r="J264">
        <v>130000</v>
      </c>
      <c r="K264">
        <v>165000</v>
      </c>
      <c r="L264">
        <v>124000</v>
      </c>
      <c r="M264">
        <v>1578.490000000005</v>
      </c>
      <c r="N264">
        <v>122421.51</v>
      </c>
      <c r="O264">
        <v>123000</v>
      </c>
      <c r="P264">
        <v>698.38</v>
      </c>
      <c r="Q264">
        <v>152.72999999999999</v>
      </c>
      <c r="R264">
        <v>35</v>
      </c>
      <c r="S264">
        <v>5.5</v>
      </c>
      <c r="X264">
        <v>47764.08</v>
      </c>
      <c r="AA264">
        <v>15.56</v>
      </c>
      <c r="AC264">
        <v>19.459532894736839</v>
      </c>
    </row>
    <row r="265" spans="1:29" x14ac:dyDescent="0.3">
      <c r="A265" t="s">
        <v>287</v>
      </c>
      <c r="B265" t="s">
        <v>866</v>
      </c>
      <c r="C265" t="s">
        <v>867</v>
      </c>
      <c r="E265">
        <v>50462.42</v>
      </c>
      <c r="F265" t="s">
        <v>868</v>
      </c>
      <c r="G265" t="s">
        <v>690</v>
      </c>
      <c r="I265">
        <v>176000</v>
      </c>
      <c r="J265">
        <v>136000</v>
      </c>
      <c r="K265">
        <v>186000</v>
      </c>
      <c r="L265">
        <v>127000</v>
      </c>
      <c r="M265">
        <v>16576.66</v>
      </c>
      <c r="N265">
        <v>110423.34</v>
      </c>
      <c r="O265">
        <v>110000</v>
      </c>
      <c r="P265">
        <v>573.82000000000005</v>
      </c>
      <c r="Q265">
        <v>147.72</v>
      </c>
      <c r="R265">
        <v>35</v>
      </c>
      <c r="S265">
        <v>4.75</v>
      </c>
      <c r="U265">
        <v>35000</v>
      </c>
      <c r="V265" t="s">
        <v>690</v>
      </c>
      <c r="W265" t="s">
        <v>716</v>
      </c>
      <c r="X265">
        <v>39452.6</v>
      </c>
      <c r="AA265">
        <v>15.38</v>
      </c>
      <c r="AC265">
        <v>37.259465909090913</v>
      </c>
    </row>
    <row r="266" spans="1:29" x14ac:dyDescent="0.3">
      <c r="A266" t="s">
        <v>289</v>
      </c>
      <c r="C266" t="s">
        <v>869</v>
      </c>
      <c r="I266">
        <v>314000</v>
      </c>
      <c r="J266">
        <v>248000</v>
      </c>
      <c r="K266">
        <v>323000</v>
      </c>
      <c r="L266">
        <v>222000</v>
      </c>
      <c r="M266">
        <v>115000</v>
      </c>
      <c r="N266">
        <v>107000</v>
      </c>
      <c r="O266">
        <v>104600</v>
      </c>
      <c r="P266">
        <v>610.41999999999996</v>
      </c>
      <c r="Q266">
        <v>136.47</v>
      </c>
      <c r="R266">
        <v>35</v>
      </c>
      <c r="S266">
        <v>5.75</v>
      </c>
      <c r="X266">
        <v>32231.040000000001</v>
      </c>
      <c r="AC266">
        <v>65.923566878980893</v>
      </c>
    </row>
    <row r="267" spans="1:29" x14ac:dyDescent="0.3">
      <c r="A267" t="s">
        <v>290</v>
      </c>
      <c r="B267" t="s">
        <v>870</v>
      </c>
      <c r="C267" t="s">
        <v>871</v>
      </c>
      <c r="E267">
        <v>86053.43</v>
      </c>
      <c r="F267" t="s">
        <v>872</v>
      </c>
      <c r="G267" t="s">
        <v>873</v>
      </c>
      <c r="I267">
        <v>145800</v>
      </c>
      <c r="J267">
        <v>115000</v>
      </c>
      <c r="K267">
        <v>160000</v>
      </c>
      <c r="L267">
        <v>148500</v>
      </c>
      <c r="M267">
        <v>15000</v>
      </c>
      <c r="N267">
        <v>133500</v>
      </c>
      <c r="O267">
        <v>138700</v>
      </c>
      <c r="P267">
        <v>702.77</v>
      </c>
      <c r="Q267">
        <v>163.95</v>
      </c>
      <c r="R267">
        <v>35</v>
      </c>
      <c r="S267">
        <v>4.5</v>
      </c>
      <c r="X267">
        <v>46100</v>
      </c>
      <c r="AA267">
        <v>11</v>
      </c>
      <c r="AC267">
        <v>8.4362139917695487</v>
      </c>
    </row>
    <row r="268" spans="1:29" x14ac:dyDescent="0.3">
      <c r="A268" t="s">
        <v>291</v>
      </c>
      <c r="B268" t="s">
        <v>874</v>
      </c>
      <c r="C268" t="s">
        <v>875</v>
      </c>
      <c r="E268">
        <v>73621.600000000006</v>
      </c>
      <c r="F268" t="s">
        <v>735</v>
      </c>
      <c r="G268" t="s">
        <v>690</v>
      </c>
      <c r="I268">
        <v>132300</v>
      </c>
      <c r="J268">
        <v>104000</v>
      </c>
      <c r="K268">
        <v>139000</v>
      </c>
      <c r="L268">
        <v>84500</v>
      </c>
      <c r="M268">
        <v>17127.72</v>
      </c>
      <c r="N268">
        <v>67372.28</v>
      </c>
      <c r="O268">
        <v>67000</v>
      </c>
      <c r="P268">
        <v>493.75</v>
      </c>
      <c r="Q268">
        <v>132.69999999999999</v>
      </c>
      <c r="R268">
        <v>35</v>
      </c>
      <c r="S268">
        <v>6.1580000000000004</v>
      </c>
      <c r="X268">
        <v>19677</v>
      </c>
      <c r="AA268">
        <v>22.28</v>
      </c>
      <c r="AC268">
        <v>49.076130007558582</v>
      </c>
    </row>
    <row r="269" spans="1:29" x14ac:dyDescent="0.3">
      <c r="A269" t="s">
        <v>292</v>
      </c>
      <c r="B269" t="s">
        <v>876</v>
      </c>
      <c r="C269" t="s">
        <v>877</v>
      </c>
      <c r="I269">
        <v>381000</v>
      </c>
      <c r="J269">
        <v>292000</v>
      </c>
      <c r="K269">
        <v>387000</v>
      </c>
      <c r="L269">
        <v>325000</v>
      </c>
      <c r="M269">
        <v>114000</v>
      </c>
      <c r="N269">
        <v>211000</v>
      </c>
      <c r="O269">
        <v>203500</v>
      </c>
      <c r="P269">
        <v>1252.98</v>
      </c>
      <c r="Q269">
        <v>176.14</v>
      </c>
      <c r="R269">
        <v>35</v>
      </c>
      <c r="S269">
        <v>6.25</v>
      </c>
      <c r="X269">
        <v>52355.37</v>
      </c>
      <c r="AA269">
        <v>1.78</v>
      </c>
      <c r="AC269">
        <v>44.619422572178479</v>
      </c>
    </row>
    <row r="270" spans="1:29" x14ac:dyDescent="0.3">
      <c r="A270" t="s">
        <v>293</v>
      </c>
      <c r="B270" t="s">
        <v>878</v>
      </c>
      <c r="C270" t="s">
        <v>879</v>
      </c>
      <c r="E270">
        <v>79932.34</v>
      </c>
      <c r="F270" t="s">
        <v>784</v>
      </c>
      <c r="G270" t="s">
        <v>690</v>
      </c>
      <c r="I270">
        <v>118000</v>
      </c>
      <c r="J270">
        <v>105000</v>
      </c>
      <c r="K270">
        <v>131000</v>
      </c>
      <c r="L270">
        <v>110700</v>
      </c>
      <c r="M270">
        <v>13988.03</v>
      </c>
      <c r="N270">
        <v>96711.97</v>
      </c>
      <c r="O270">
        <v>97748</v>
      </c>
      <c r="P270">
        <v>480.86</v>
      </c>
      <c r="Q270">
        <v>169.8</v>
      </c>
      <c r="R270">
        <v>35</v>
      </c>
      <c r="S270">
        <v>4.25</v>
      </c>
      <c r="X270">
        <v>32093.49</v>
      </c>
      <c r="AA270">
        <v>13.63</v>
      </c>
      <c r="AC270">
        <v>18.040703389830501</v>
      </c>
    </row>
    <row r="271" spans="1:29" x14ac:dyDescent="0.3">
      <c r="A271" t="s">
        <v>294</v>
      </c>
      <c r="B271" t="s">
        <v>880</v>
      </c>
      <c r="C271" t="s">
        <v>881</v>
      </c>
      <c r="E271">
        <v>88310.11</v>
      </c>
      <c r="F271" t="s">
        <v>784</v>
      </c>
      <c r="G271" t="s">
        <v>690</v>
      </c>
      <c r="I271">
        <v>124000</v>
      </c>
      <c r="J271">
        <v>108000</v>
      </c>
      <c r="K271">
        <v>133000</v>
      </c>
      <c r="L271">
        <v>87458</v>
      </c>
      <c r="M271">
        <v>16043.5</v>
      </c>
      <c r="N271">
        <v>71414.5</v>
      </c>
      <c r="O271">
        <v>62100</v>
      </c>
      <c r="P271">
        <v>328.63</v>
      </c>
      <c r="Q271">
        <v>150.69999999999999</v>
      </c>
      <c r="R271">
        <v>35</v>
      </c>
      <c r="S271">
        <v>4.875</v>
      </c>
      <c r="X271">
        <v>25496.09</v>
      </c>
      <c r="AA271">
        <v>7.34</v>
      </c>
      <c r="AC271">
        <v>42.407661290322586</v>
      </c>
    </row>
    <row r="272" spans="1:29" x14ac:dyDescent="0.3">
      <c r="A272" t="s">
        <v>294</v>
      </c>
      <c r="C272" t="s">
        <v>882</v>
      </c>
      <c r="I272">
        <v>253000</v>
      </c>
      <c r="J272">
        <v>185000</v>
      </c>
      <c r="K272">
        <v>265000</v>
      </c>
      <c r="L272">
        <v>175000</v>
      </c>
      <c r="N272">
        <v>160000</v>
      </c>
      <c r="O272">
        <v>160500</v>
      </c>
      <c r="P272">
        <v>837.24</v>
      </c>
      <c r="R272">
        <v>35</v>
      </c>
      <c r="S272">
        <v>4.75</v>
      </c>
      <c r="AC272">
        <v>36.758893280632407</v>
      </c>
    </row>
    <row r="273" spans="1:29" x14ac:dyDescent="0.3">
      <c r="A273" t="s">
        <v>295</v>
      </c>
      <c r="B273" t="s">
        <v>883</v>
      </c>
      <c r="C273" t="s">
        <v>884</v>
      </c>
      <c r="E273">
        <v>102205.19</v>
      </c>
      <c r="F273" t="s">
        <v>863</v>
      </c>
      <c r="G273" t="s">
        <v>690</v>
      </c>
      <c r="I273">
        <v>196200</v>
      </c>
      <c r="J273">
        <v>95000</v>
      </c>
      <c r="K273">
        <v>212000</v>
      </c>
      <c r="L273">
        <v>165000</v>
      </c>
      <c r="M273">
        <v>50000</v>
      </c>
      <c r="N273">
        <v>115000</v>
      </c>
      <c r="O273">
        <v>84500</v>
      </c>
      <c r="P273">
        <v>391.33</v>
      </c>
      <c r="Q273">
        <v>157.07</v>
      </c>
      <c r="R273">
        <v>35</v>
      </c>
      <c r="S273">
        <v>3.75</v>
      </c>
      <c r="X273">
        <v>25505.38</v>
      </c>
      <c r="AA273">
        <v>8.1300000000000008</v>
      </c>
      <c r="AC273">
        <v>41.386340468909268</v>
      </c>
    </row>
    <row r="274" spans="1:29" x14ac:dyDescent="0.3">
      <c r="A274" t="s">
        <v>296</v>
      </c>
      <c r="B274" t="s">
        <v>885</v>
      </c>
      <c r="C274" t="s">
        <v>886</v>
      </c>
      <c r="I274">
        <v>365000</v>
      </c>
      <c r="J274">
        <v>372000</v>
      </c>
      <c r="K274">
        <v>372000</v>
      </c>
      <c r="L274">
        <v>270000</v>
      </c>
      <c r="M274">
        <v>0</v>
      </c>
      <c r="N274">
        <v>270000</v>
      </c>
      <c r="P274">
        <v>0</v>
      </c>
      <c r="Q274">
        <v>143.29</v>
      </c>
      <c r="R274">
        <v>35</v>
      </c>
      <c r="X274">
        <v>27300</v>
      </c>
      <c r="AA274">
        <v>1.54</v>
      </c>
      <c r="AC274">
        <v>26.027397260273979</v>
      </c>
    </row>
    <row r="275" spans="1:29" x14ac:dyDescent="0.3">
      <c r="A275" t="s">
        <v>297</v>
      </c>
      <c r="B275" t="s">
        <v>887</v>
      </c>
      <c r="C275" t="s">
        <v>887</v>
      </c>
      <c r="E275">
        <v>60000</v>
      </c>
      <c r="F275" t="s">
        <v>809</v>
      </c>
      <c r="G275" t="s">
        <v>690</v>
      </c>
      <c r="I275">
        <v>160000</v>
      </c>
      <c r="J275">
        <v>115000</v>
      </c>
      <c r="K275">
        <v>170000</v>
      </c>
      <c r="L275">
        <v>113000</v>
      </c>
      <c r="M275">
        <v>54000</v>
      </c>
      <c r="N275">
        <v>59000</v>
      </c>
      <c r="P275">
        <v>455</v>
      </c>
      <c r="Q275">
        <v>55</v>
      </c>
      <c r="R275">
        <v>35</v>
      </c>
      <c r="U275">
        <v>37319.69</v>
      </c>
      <c r="V275" t="s">
        <v>690</v>
      </c>
      <c r="W275" t="s">
        <v>701</v>
      </c>
      <c r="X275">
        <v>23671.1</v>
      </c>
      <c r="AA275">
        <v>8.5299999999999994</v>
      </c>
      <c r="AC275">
        <v>63.125</v>
      </c>
    </row>
    <row r="276" spans="1:29" x14ac:dyDescent="0.3">
      <c r="A276" t="s">
        <v>299</v>
      </c>
      <c r="B276" t="s">
        <v>888</v>
      </c>
      <c r="C276" t="s">
        <v>889</v>
      </c>
      <c r="E276">
        <v>63373.29</v>
      </c>
      <c r="F276" t="s">
        <v>735</v>
      </c>
      <c r="G276" t="s">
        <v>690</v>
      </c>
      <c r="I276">
        <v>128000</v>
      </c>
      <c r="J276">
        <v>101800</v>
      </c>
      <c r="K276">
        <v>136800</v>
      </c>
      <c r="L276">
        <v>104500</v>
      </c>
      <c r="M276">
        <v>30570.53</v>
      </c>
      <c r="N276">
        <v>73929.47</v>
      </c>
      <c r="O276">
        <v>73000</v>
      </c>
      <c r="P276">
        <v>437.67</v>
      </c>
      <c r="Q276">
        <v>112.59</v>
      </c>
      <c r="R276">
        <v>35</v>
      </c>
      <c r="S276">
        <v>6</v>
      </c>
      <c r="X276">
        <v>24000</v>
      </c>
      <c r="AA276">
        <v>21.53</v>
      </c>
      <c r="AC276">
        <v>42.242601562500013</v>
      </c>
    </row>
    <row r="277" spans="1:29" x14ac:dyDescent="0.3">
      <c r="A277" t="s">
        <v>300</v>
      </c>
      <c r="B277" t="s">
        <v>890</v>
      </c>
      <c r="C277" t="s">
        <v>891</v>
      </c>
      <c r="I277">
        <v>390000</v>
      </c>
      <c r="J277">
        <v>235000</v>
      </c>
      <c r="K277">
        <v>400000</v>
      </c>
      <c r="L277">
        <v>310000</v>
      </c>
      <c r="M277">
        <v>35000</v>
      </c>
      <c r="N277">
        <v>275000</v>
      </c>
      <c r="O277">
        <v>275000</v>
      </c>
      <c r="P277">
        <v>1539.06</v>
      </c>
      <c r="Q277">
        <v>154.03</v>
      </c>
      <c r="R277">
        <v>35</v>
      </c>
      <c r="S277">
        <v>5.37</v>
      </c>
      <c r="X277">
        <v>76417.09</v>
      </c>
      <c r="AA277">
        <v>1.31</v>
      </c>
      <c r="AC277">
        <v>29.487179487179478</v>
      </c>
    </row>
    <row r="278" spans="1:29" x14ac:dyDescent="0.3">
      <c r="A278" t="s">
        <v>301</v>
      </c>
      <c r="B278" t="s">
        <v>892</v>
      </c>
      <c r="C278" t="s">
        <v>688</v>
      </c>
      <c r="E278">
        <v>38647.86</v>
      </c>
      <c r="F278" t="s">
        <v>852</v>
      </c>
      <c r="G278" t="s">
        <v>690</v>
      </c>
      <c r="I278">
        <v>216600</v>
      </c>
      <c r="J278">
        <v>155000</v>
      </c>
      <c r="K278">
        <v>230000</v>
      </c>
      <c r="L278">
        <v>165000</v>
      </c>
      <c r="M278">
        <v>0</v>
      </c>
      <c r="N278">
        <v>165000</v>
      </c>
      <c r="O278">
        <v>160050</v>
      </c>
      <c r="P278">
        <v>834.9</v>
      </c>
      <c r="Q278">
        <v>125.88</v>
      </c>
      <c r="R278">
        <v>35</v>
      </c>
      <c r="S278">
        <v>4.75</v>
      </c>
      <c r="U278">
        <v>52970.85</v>
      </c>
      <c r="V278" t="s">
        <v>690</v>
      </c>
      <c r="W278" t="s">
        <v>689</v>
      </c>
      <c r="X278">
        <v>33798.769999999997</v>
      </c>
      <c r="AA278">
        <v>7.37</v>
      </c>
      <c r="AC278">
        <v>23.822714681440441</v>
      </c>
    </row>
    <row r="279" spans="1:29" x14ac:dyDescent="0.3">
      <c r="A279" t="s">
        <v>302</v>
      </c>
      <c r="B279" t="s">
        <v>893</v>
      </c>
      <c r="C279" t="s">
        <v>894</v>
      </c>
      <c r="E279">
        <v>62476.959999999999</v>
      </c>
      <c r="F279" t="s">
        <v>701</v>
      </c>
      <c r="G279" t="s">
        <v>690</v>
      </c>
      <c r="I279">
        <v>181000</v>
      </c>
      <c r="J279">
        <v>193000</v>
      </c>
      <c r="K279">
        <v>193000</v>
      </c>
      <c r="L279">
        <v>165000</v>
      </c>
      <c r="M279">
        <v>42466.289999999994</v>
      </c>
      <c r="N279">
        <v>122533.71</v>
      </c>
      <c r="O279">
        <v>121500</v>
      </c>
      <c r="P279">
        <v>633.79999999999995</v>
      </c>
      <c r="Q279">
        <v>152.38999999999999</v>
      </c>
      <c r="R279">
        <v>35</v>
      </c>
      <c r="S279">
        <v>4.75</v>
      </c>
      <c r="U279">
        <v>17333.599999999999</v>
      </c>
      <c r="V279" t="s">
        <v>690</v>
      </c>
      <c r="W279" t="s">
        <v>701</v>
      </c>
      <c r="X279">
        <v>36245.49</v>
      </c>
      <c r="AA279">
        <v>11.4</v>
      </c>
      <c r="AC279">
        <v>32.301817679558013</v>
      </c>
    </row>
    <row r="280" spans="1:29" x14ac:dyDescent="0.3">
      <c r="A280" t="s">
        <v>303</v>
      </c>
      <c r="B280" t="s">
        <v>895</v>
      </c>
      <c r="C280" t="s">
        <v>896</v>
      </c>
      <c r="E280">
        <v>83239.22</v>
      </c>
      <c r="F280" t="s">
        <v>743</v>
      </c>
      <c r="G280" t="s">
        <v>690</v>
      </c>
      <c r="I280">
        <v>172000</v>
      </c>
      <c r="J280">
        <v>126000</v>
      </c>
      <c r="K280">
        <v>186000</v>
      </c>
      <c r="L280">
        <v>152700</v>
      </c>
      <c r="M280">
        <v>15470.600000000009</v>
      </c>
      <c r="N280">
        <v>137229.4</v>
      </c>
      <c r="O280">
        <v>137200</v>
      </c>
      <c r="P280">
        <v>726.07</v>
      </c>
      <c r="Q280">
        <v>123.52</v>
      </c>
      <c r="R280">
        <v>35</v>
      </c>
      <c r="S280">
        <v>4.875</v>
      </c>
      <c r="X280">
        <v>38604.58</v>
      </c>
      <c r="AA280">
        <v>8.7899999999999991</v>
      </c>
      <c r="AC280">
        <v>20.21546511627907</v>
      </c>
    </row>
    <row r="281" spans="1:29" x14ac:dyDescent="0.3">
      <c r="A281" t="s">
        <v>304</v>
      </c>
      <c r="B281" t="s">
        <v>897</v>
      </c>
      <c r="C281" t="s">
        <v>897</v>
      </c>
      <c r="E281">
        <v>60000</v>
      </c>
      <c r="F281" t="s">
        <v>809</v>
      </c>
      <c r="G281" t="s">
        <v>690</v>
      </c>
      <c r="I281">
        <v>170000</v>
      </c>
      <c r="J281">
        <v>133500</v>
      </c>
      <c r="K281">
        <v>183500</v>
      </c>
      <c r="L281">
        <v>123500</v>
      </c>
      <c r="M281">
        <v>39863.910000000003</v>
      </c>
      <c r="N281">
        <v>83636.09</v>
      </c>
      <c r="O281">
        <v>86500</v>
      </c>
      <c r="P281">
        <v>539.65</v>
      </c>
      <c r="Q281">
        <v>99.88</v>
      </c>
      <c r="R281">
        <v>35</v>
      </c>
      <c r="S281">
        <v>6.25</v>
      </c>
      <c r="X281">
        <v>36556.080000000002</v>
      </c>
      <c r="AA281">
        <v>18.63</v>
      </c>
      <c r="AC281">
        <v>50.802300000000002</v>
      </c>
    </row>
    <row r="282" spans="1:29" x14ac:dyDescent="0.3">
      <c r="A282" t="s">
        <v>305</v>
      </c>
      <c r="B282" t="s">
        <v>898</v>
      </c>
      <c r="C282" t="s">
        <v>899</v>
      </c>
      <c r="E282">
        <v>91694.47</v>
      </c>
      <c r="F282" t="s">
        <v>863</v>
      </c>
      <c r="G282" t="s">
        <v>690</v>
      </c>
      <c r="I282">
        <v>186500</v>
      </c>
      <c r="J282">
        <v>115000</v>
      </c>
      <c r="K282">
        <v>200000</v>
      </c>
      <c r="L282">
        <v>185000</v>
      </c>
      <c r="M282">
        <v>43950</v>
      </c>
      <c r="N282">
        <v>141050</v>
      </c>
      <c r="O282">
        <v>140500</v>
      </c>
      <c r="P282">
        <v>687.07</v>
      </c>
      <c r="Q282">
        <v>146.63999999999999</v>
      </c>
      <c r="R282">
        <v>35</v>
      </c>
      <c r="S282">
        <v>4.2</v>
      </c>
      <c r="X282">
        <v>35046.980000000003</v>
      </c>
      <c r="AA282">
        <v>8.5399999999999991</v>
      </c>
      <c r="AC282">
        <v>24.369973190348521</v>
      </c>
    </row>
    <row r="283" spans="1:29" x14ac:dyDescent="0.3">
      <c r="A283" t="s">
        <v>306</v>
      </c>
      <c r="B283" t="s">
        <v>900</v>
      </c>
      <c r="C283" t="s">
        <v>901</v>
      </c>
      <c r="I283">
        <v>380900</v>
      </c>
      <c r="J283">
        <v>225000</v>
      </c>
      <c r="K283">
        <v>390000</v>
      </c>
      <c r="L283">
        <v>315000</v>
      </c>
      <c r="M283">
        <v>65000</v>
      </c>
      <c r="N283">
        <v>250000</v>
      </c>
      <c r="O283">
        <v>194651.51999999999</v>
      </c>
      <c r="P283">
        <v>1089.3900000000001</v>
      </c>
      <c r="Q283">
        <v>168.27</v>
      </c>
      <c r="R283">
        <v>35</v>
      </c>
      <c r="S283">
        <v>5.37</v>
      </c>
      <c r="X283">
        <v>49684.47</v>
      </c>
      <c r="AA283">
        <v>1.28</v>
      </c>
      <c r="AC283">
        <v>34.365975321606733</v>
      </c>
    </row>
    <row r="284" spans="1:29" x14ac:dyDescent="0.3">
      <c r="A284" t="s">
        <v>307</v>
      </c>
      <c r="B284" t="s">
        <v>902</v>
      </c>
      <c r="C284" t="s">
        <v>903</v>
      </c>
      <c r="E284">
        <v>76692.89</v>
      </c>
      <c r="F284" t="s">
        <v>743</v>
      </c>
      <c r="G284" t="s">
        <v>690</v>
      </c>
      <c r="I284">
        <v>201500</v>
      </c>
      <c r="J284">
        <v>125000</v>
      </c>
      <c r="K284">
        <v>215000</v>
      </c>
      <c r="L284">
        <v>165000</v>
      </c>
      <c r="M284">
        <v>15000</v>
      </c>
      <c r="N284">
        <v>150000</v>
      </c>
      <c r="O284">
        <v>152000</v>
      </c>
      <c r="P284">
        <v>863.04</v>
      </c>
      <c r="Q284">
        <v>122.22</v>
      </c>
      <c r="R284">
        <v>35</v>
      </c>
      <c r="S284">
        <v>5.5</v>
      </c>
      <c r="X284">
        <v>42752</v>
      </c>
      <c r="AA284">
        <v>7.66</v>
      </c>
      <c r="AC284">
        <v>25.558312655086841</v>
      </c>
    </row>
    <row r="285" spans="1:29" x14ac:dyDescent="0.3">
      <c r="A285" t="s">
        <v>308</v>
      </c>
      <c r="B285" t="s">
        <v>904</v>
      </c>
      <c r="C285" t="s">
        <v>905</v>
      </c>
      <c r="E285">
        <v>85123.64</v>
      </c>
      <c r="F285" t="s">
        <v>906</v>
      </c>
      <c r="G285" t="s">
        <v>690</v>
      </c>
      <c r="I285">
        <v>137000</v>
      </c>
      <c r="J285">
        <v>120000</v>
      </c>
      <c r="K285">
        <v>150000</v>
      </c>
      <c r="L285">
        <v>131000</v>
      </c>
      <c r="M285">
        <v>15000</v>
      </c>
      <c r="N285">
        <v>116000</v>
      </c>
      <c r="O285">
        <v>106200</v>
      </c>
      <c r="P285">
        <v>578.25</v>
      </c>
      <c r="Q285">
        <v>156.46</v>
      </c>
      <c r="R285">
        <v>35</v>
      </c>
      <c r="S285">
        <v>5.125</v>
      </c>
      <c r="X285">
        <v>32778.78</v>
      </c>
      <c r="AA285">
        <v>4.8</v>
      </c>
      <c r="AC285">
        <v>15.328467153284681</v>
      </c>
    </row>
    <row r="286" spans="1:29" x14ac:dyDescent="0.3">
      <c r="A286" t="s">
        <v>308</v>
      </c>
      <c r="C286" t="s">
        <v>907</v>
      </c>
      <c r="I286">
        <v>254000</v>
      </c>
      <c r="J286">
        <v>168000</v>
      </c>
      <c r="K286">
        <v>268000</v>
      </c>
      <c r="L286">
        <v>195000</v>
      </c>
      <c r="N286">
        <v>195435</v>
      </c>
      <c r="O286">
        <v>189150</v>
      </c>
      <c r="P286">
        <v>964.02</v>
      </c>
      <c r="R286">
        <v>35</v>
      </c>
      <c r="S286">
        <v>4.55</v>
      </c>
      <c r="AC286">
        <v>23.05708661417323</v>
      </c>
    </row>
    <row r="287" spans="1:29" x14ac:dyDescent="0.3">
      <c r="A287" t="s">
        <v>310</v>
      </c>
      <c r="B287" t="s">
        <v>908</v>
      </c>
      <c r="C287" t="s">
        <v>909</v>
      </c>
      <c r="E287">
        <v>84415.15</v>
      </c>
      <c r="F287" t="s">
        <v>910</v>
      </c>
      <c r="G287" t="s">
        <v>690</v>
      </c>
      <c r="I287">
        <v>176000</v>
      </c>
      <c r="J287">
        <v>120000</v>
      </c>
      <c r="K287">
        <v>190000</v>
      </c>
      <c r="L287">
        <v>150000</v>
      </c>
      <c r="M287">
        <v>15000</v>
      </c>
      <c r="N287">
        <v>135000</v>
      </c>
      <c r="O287">
        <v>136500</v>
      </c>
      <c r="P287">
        <v>775.03</v>
      </c>
      <c r="Q287">
        <v>104.03</v>
      </c>
      <c r="R287">
        <v>35</v>
      </c>
      <c r="S287">
        <v>5.5</v>
      </c>
      <c r="X287">
        <v>31871.37</v>
      </c>
      <c r="AA287">
        <v>7.66</v>
      </c>
      <c r="AC287">
        <v>23.29545454545454</v>
      </c>
    </row>
    <row r="288" spans="1:29" x14ac:dyDescent="0.3">
      <c r="A288" t="s">
        <v>311</v>
      </c>
      <c r="B288" t="s">
        <v>911</v>
      </c>
      <c r="C288" t="s">
        <v>912</v>
      </c>
      <c r="E288">
        <v>85260.71</v>
      </c>
      <c r="F288" t="s">
        <v>720</v>
      </c>
      <c r="G288" t="s">
        <v>690</v>
      </c>
      <c r="I288">
        <v>142500</v>
      </c>
      <c r="J288">
        <v>127000</v>
      </c>
      <c r="K288">
        <v>152000</v>
      </c>
      <c r="L288">
        <v>115900</v>
      </c>
      <c r="M288">
        <v>1151.4799999999959</v>
      </c>
      <c r="N288">
        <v>114748.52</v>
      </c>
      <c r="O288">
        <v>110105</v>
      </c>
      <c r="P288">
        <v>574.35</v>
      </c>
      <c r="Q288">
        <v>144.68</v>
      </c>
      <c r="R288">
        <v>35</v>
      </c>
      <c r="S288">
        <v>4.75</v>
      </c>
      <c r="X288">
        <v>38088.050000000003</v>
      </c>
      <c r="AA288">
        <v>14.77</v>
      </c>
      <c r="AC288">
        <v>19.474722807017539</v>
      </c>
    </row>
    <row r="289" spans="1:29" x14ac:dyDescent="0.3">
      <c r="A289" t="s">
        <v>312</v>
      </c>
      <c r="B289" t="s">
        <v>913</v>
      </c>
      <c r="C289" t="s">
        <v>914</v>
      </c>
      <c r="E289">
        <v>58827</v>
      </c>
      <c r="F289" t="s">
        <v>735</v>
      </c>
      <c r="G289" t="s">
        <v>690</v>
      </c>
      <c r="I289">
        <v>130000</v>
      </c>
      <c r="J289">
        <v>105000</v>
      </c>
      <c r="K289">
        <v>140000</v>
      </c>
      <c r="L289">
        <v>107650</v>
      </c>
      <c r="M289">
        <v>31884.19</v>
      </c>
      <c r="N289">
        <v>75765.81</v>
      </c>
      <c r="O289">
        <v>75000</v>
      </c>
      <c r="P289">
        <v>461.79</v>
      </c>
      <c r="Q289">
        <v>122.19</v>
      </c>
      <c r="R289">
        <v>35</v>
      </c>
      <c r="S289">
        <v>6</v>
      </c>
      <c r="X289">
        <v>31491</v>
      </c>
      <c r="AA289">
        <v>21.22</v>
      </c>
      <c r="AC289">
        <v>41.7186076923077</v>
      </c>
    </row>
    <row r="290" spans="1:29" x14ac:dyDescent="0.3">
      <c r="A290" t="s">
        <v>313</v>
      </c>
      <c r="C290" t="s">
        <v>915</v>
      </c>
      <c r="J290">
        <v>0</v>
      </c>
      <c r="L290">
        <v>310000</v>
      </c>
      <c r="M290">
        <v>310000</v>
      </c>
      <c r="O290">
        <v>281550</v>
      </c>
      <c r="P290">
        <v>1756.51</v>
      </c>
      <c r="Q290">
        <v>221.68</v>
      </c>
      <c r="R290">
        <v>35</v>
      </c>
      <c r="S290">
        <v>6.375</v>
      </c>
      <c r="X290">
        <v>94513.14</v>
      </c>
      <c r="AA290">
        <v>2.4900000000000002</v>
      </c>
    </row>
    <row r="291" spans="1:29" x14ac:dyDescent="0.3">
      <c r="A291" t="s">
        <v>316</v>
      </c>
      <c r="B291" t="s">
        <v>916</v>
      </c>
      <c r="C291" t="s">
        <v>917</v>
      </c>
      <c r="E291">
        <v>35000</v>
      </c>
      <c r="F291" t="s">
        <v>716</v>
      </c>
      <c r="G291" t="s">
        <v>690</v>
      </c>
      <c r="I291">
        <v>164000</v>
      </c>
      <c r="J291">
        <v>133000</v>
      </c>
      <c r="K291">
        <v>173000</v>
      </c>
      <c r="L291">
        <v>115000</v>
      </c>
      <c r="M291">
        <v>12818.47</v>
      </c>
      <c r="N291">
        <v>102181.53</v>
      </c>
      <c r="O291">
        <v>101500</v>
      </c>
      <c r="P291">
        <v>529.48</v>
      </c>
      <c r="Q291">
        <v>149.03</v>
      </c>
      <c r="R291">
        <v>35</v>
      </c>
      <c r="S291">
        <v>4.75</v>
      </c>
      <c r="U291">
        <v>65769.009999999995</v>
      </c>
      <c r="V291" t="s">
        <v>690</v>
      </c>
      <c r="W291" t="s">
        <v>715</v>
      </c>
      <c r="X291">
        <v>39290.94</v>
      </c>
      <c r="AA291">
        <v>15.62</v>
      </c>
      <c r="AC291">
        <v>37.694189024390248</v>
      </c>
    </row>
    <row r="292" spans="1:29" x14ac:dyDescent="0.3">
      <c r="A292" t="s">
        <v>317</v>
      </c>
      <c r="B292" t="s">
        <v>918</v>
      </c>
      <c r="C292" t="s">
        <v>919</v>
      </c>
      <c r="E292">
        <v>60333.34</v>
      </c>
      <c r="F292" t="s">
        <v>700</v>
      </c>
      <c r="G292" t="s">
        <v>690</v>
      </c>
      <c r="I292">
        <v>168000</v>
      </c>
      <c r="J292">
        <v>138000</v>
      </c>
      <c r="K292">
        <v>178000</v>
      </c>
      <c r="L292">
        <v>131000</v>
      </c>
      <c r="M292">
        <v>33516.539999999994</v>
      </c>
      <c r="N292">
        <v>97483.46</v>
      </c>
      <c r="O292">
        <v>95700</v>
      </c>
      <c r="P292">
        <v>566.1</v>
      </c>
      <c r="Q292">
        <v>148.19</v>
      </c>
      <c r="R292">
        <v>35</v>
      </c>
      <c r="S292">
        <v>6</v>
      </c>
      <c r="X292">
        <v>40524</v>
      </c>
      <c r="AA292">
        <v>20.65</v>
      </c>
      <c r="AC292">
        <v>41.974130952380953</v>
      </c>
    </row>
    <row r="293" spans="1:29" x14ac:dyDescent="0.3">
      <c r="A293" t="s">
        <v>318</v>
      </c>
      <c r="B293" t="s">
        <v>920</v>
      </c>
      <c r="C293" t="s">
        <v>921</v>
      </c>
      <c r="E293">
        <v>58381.59</v>
      </c>
      <c r="F293" t="s">
        <v>922</v>
      </c>
      <c r="G293" t="s">
        <v>690</v>
      </c>
      <c r="I293">
        <v>201000</v>
      </c>
      <c r="J293">
        <v>154750</v>
      </c>
      <c r="K293">
        <v>210000</v>
      </c>
      <c r="L293">
        <v>140000</v>
      </c>
      <c r="M293">
        <v>55052.09</v>
      </c>
      <c r="N293">
        <v>84947.91</v>
      </c>
      <c r="O293">
        <v>84000</v>
      </c>
      <c r="P293">
        <v>503.62</v>
      </c>
      <c r="Q293">
        <v>166.11</v>
      </c>
      <c r="R293">
        <v>35</v>
      </c>
      <c r="S293">
        <v>6</v>
      </c>
      <c r="U293">
        <v>35000</v>
      </c>
      <c r="V293" t="s">
        <v>690</v>
      </c>
      <c r="W293" t="s">
        <v>716</v>
      </c>
      <c r="X293">
        <v>25959.4</v>
      </c>
      <c r="AA293">
        <v>17.2</v>
      </c>
      <c r="AC293">
        <v>57.737358208955229</v>
      </c>
    </row>
    <row r="294" spans="1:29" x14ac:dyDescent="0.3">
      <c r="A294" t="s">
        <v>319</v>
      </c>
      <c r="B294" t="s">
        <v>923</v>
      </c>
      <c r="C294" t="s">
        <v>924</v>
      </c>
      <c r="I294">
        <v>406000</v>
      </c>
      <c r="J294">
        <v>320000</v>
      </c>
      <c r="K294">
        <v>415000</v>
      </c>
      <c r="L294">
        <v>329500</v>
      </c>
      <c r="M294">
        <v>50000</v>
      </c>
      <c r="N294">
        <v>279500</v>
      </c>
      <c r="O294">
        <v>285750</v>
      </c>
      <c r="P294">
        <v>1901.1</v>
      </c>
      <c r="Q294">
        <v>271.02999999999997</v>
      </c>
      <c r="R294">
        <v>35</v>
      </c>
      <c r="S294">
        <v>7</v>
      </c>
      <c r="X294">
        <v>117619.42</v>
      </c>
      <c r="AA294">
        <v>0.97</v>
      </c>
      <c r="AC294">
        <v>31.157635467980288</v>
      </c>
    </row>
    <row r="295" spans="1:29" x14ac:dyDescent="0.3">
      <c r="A295" t="s">
        <v>320</v>
      </c>
      <c r="B295" t="s">
        <v>925</v>
      </c>
      <c r="C295" t="s">
        <v>755</v>
      </c>
      <c r="I295">
        <v>390000</v>
      </c>
      <c r="J295">
        <v>250000</v>
      </c>
      <c r="K295">
        <v>400000</v>
      </c>
      <c r="L295">
        <v>300000</v>
      </c>
      <c r="M295">
        <v>35000</v>
      </c>
      <c r="N295">
        <v>265000</v>
      </c>
      <c r="O295">
        <v>271000</v>
      </c>
      <c r="P295">
        <v>1735.24</v>
      </c>
      <c r="Q295">
        <v>202.09</v>
      </c>
      <c r="R295">
        <v>35</v>
      </c>
      <c r="S295">
        <v>6.625</v>
      </c>
      <c r="X295">
        <v>83803.64</v>
      </c>
      <c r="AA295">
        <v>2.23</v>
      </c>
      <c r="AC295">
        <v>32.051282051282051</v>
      </c>
    </row>
    <row r="296" spans="1:29" x14ac:dyDescent="0.3">
      <c r="A296" t="s">
        <v>321</v>
      </c>
      <c r="B296" t="s">
        <v>926</v>
      </c>
      <c r="C296" t="s">
        <v>927</v>
      </c>
      <c r="E296">
        <v>125590.23</v>
      </c>
      <c r="F296" t="s">
        <v>743</v>
      </c>
      <c r="G296" t="s">
        <v>690</v>
      </c>
      <c r="I296">
        <v>190000</v>
      </c>
      <c r="J296">
        <v>145000</v>
      </c>
      <c r="K296">
        <v>205000</v>
      </c>
      <c r="L296">
        <v>160850</v>
      </c>
      <c r="M296">
        <v>15000</v>
      </c>
      <c r="N296">
        <v>145850</v>
      </c>
      <c r="O296">
        <v>146620</v>
      </c>
      <c r="P296">
        <v>798.33</v>
      </c>
      <c r="Q296">
        <v>143.88999999999999</v>
      </c>
      <c r="R296">
        <v>35</v>
      </c>
      <c r="S296">
        <v>5.125</v>
      </c>
      <c r="X296">
        <v>39130.699999999997</v>
      </c>
      <c r="AA296">
        <v>5.31</v>
      </c>
      <c r="AC296">
        <v>23.236842105263161</v>
      </c>
    </row>
    <row r="297" spans="1:29" x14ac:dyDescent="0.3">
      <c r="A297" t="s">
        <v>322</v>
      </c>
      <c r="B297" t="s">
        <v>928</v>
      </c>
      <c r="C297" t="s">
        <v>929</v>
      </c>
      <c r="E297">
        <v>63370</v>
      </c>
      <c r="F297" t="s">
        <v>868</v>
      </c>
      <c r="G297" t="s">
        <v>690</v>
      </c>
      <c r="I297">
        <v>147100</v>
      </c>
      <c r="J297">
        <v>160000</v>
      </c>
      <c r="K297">
        <v>160000</v>
      </c>
      <c r="L297">
        <v>112000</v>
      </c>
      <c r="M297">
        <v>15879.100000000009</v>
      </c>
      <c r="N297">
        <v>96120.9</v>
      </c>
      <c r="O297">
        <v>96000</v>
      </c>
      <c r="P297">
        <v>522.71</v>
      </c>
      <c r="Q297">
        <v>125.8</v>
      </c>
      <c r="R297">
        <v>35</v>
      </c>
      <c r="S297">
        <v>5.25</v>
      </c>
      <c r="X297">
        <v>29752.65</v>
      </c>
      <c r="AA297">
        <v>11.83</v>
      </c>
      <c r="AC297">
        <v>34.656084296397019</v>
      </c>
    </row>
    <row r="298" spans="1:29" x14ac:dyDescent="0.3">
      <c r="A298" t="s">
        <v>322</v>
      </c>
      <c r="C298" t="s">
        <v>930</v>
      </c>
      <c r="I298">
        <v>265000</v>
      </c>
      <c r="J298">
        <v>0</v>
      </c>
      <c r="K298">
        <v>283000</v>
      </c>
      <c r="L298">
        <v>220000</v>
      </c>
      <c r="N298">
        <v>188000</v>
      </c>
      <c r="O298">
        <v>186000</v>
      </c>
      <c r="P298">
        <v>759.33</v>
      </c>
      <c r="R298">
        <v>35</v>
      </c>
      <c r="S298">
        <v>2.75</v>
      </c>
      <c r="AC298">
        <v>29.056603773584911</v>
      </c>
    </row>
    <row r="299" spans="1:29" x14ac:dyDescent="0.3">
      <c r="A299" t="s">
        <v>324</v>
      </c>
      <c r="B299" t="s">
        <v>931</v>
      </c>
      <c r="C299" t="s">
        <v>932</v>
      </c>
      <c r="E299">
        <v>80000.149999999994</v>
      </c>
      <c r="F299" t="s">
        <v>689</v>
      </c>
      <c r="G299" t="s">
        <v>690</v>
      </c>
      <c r="I299">
        <v>216700</v>
      </c>
      <c r="J299">
        <v>216700</v>
      </c>
      <c r="K299">
        <v>235000</v>
      </c>
      <c r="L299">
        <v>190000</v>
      </c>
      <c r="M299">
        <v>0</v>
      </c>
      <c r="N299">
        <v>190000</v>
      </c>
      <c r="O299">
        <v>121000</v>
      </c>
      <c r="P299">
        <v>568.99</v>
      </c>
      <c r="Q299">
        <v>133.84</v>
      </c>
      <c r="R299">
        <v>35</v>
      </c>
      <c r="S299">
        <v>3.875</v>
      </c>
      <c r="X299">
        <v>26158.81</v>
      </c>
      <c r="AA299">
        <v>5.95</v>
      </c>
      <c r="AC299">
        <v>12.32118135671435</v>
      </c>
    </row>
    <row r="300" spans="1:29" x14ac:dyDescent="0.3">
      <c r="A300" t="s">
        <v>325</v>
      </c>
      <c r="B300" t="s">
        <v>933</v>
      </c>
      <c r="C300" t="s">
        <v>933</v>
      </c>
      <c r="I300">
        <v>435000</v>
      </c>
      <c r="J300">
        <v>317000</v>
      </c>
      <c r="K300">
        <v>447000</v>
      </c>
      <c r="L300">
        <v>310000</v>
      </c>
      <c r="M300">
        <v>22000</v>
      </c>
      <c r="N300">
        <v>288000</v>
      </c>
      <c r="O300">
        <v>288500</v>
      </c>
      <c r="P300">
        <v>1214.77</v>
      </c>
      <c r="Q300">
        <v>237.75</v>
      </c>
      <c r="R300">
        <v>35</v>
      </c>
      <c r="S300">
        <v>2.99</v>
      </c>
      <c r="X300">
        <v>61395.54</v>
      </c>
      <c r="AA300">
        <v>3.36</v>
      </c>
      <c r="AC300">
        <v>33.793103448275858</v>
      </c>
    </row>
    <row r="301" spans="1:29" x14ac:dyDescent="0.3">
      <c r="A301" t="s">
        <v>327</v>
      </c>
      <c r="B301" t="s">
        <v>934</v>
      </c>
      <c r="C301" t="s">
        <v>935</v>
      </c>
      <c r="E301">
        <v>56894.69</v>
      </c>
      <c r="F301" t="s">
        <v>922</v>
      </c>
      <c r="G301" t="s">
        <v>690</v>
      </c>
      <c r="I301">
        <v>170000</v>
      </c>
      <c r="J301">
        <v>138500</v>
      </c>
      <c r="K301">
        <v>179000</v>
      </c>
      <c r="L301">
        <v>100500</v>
      </c>
      <c r="M301">
        <v>16323.44</v>
      </c>
      <c r="N301">
        <v>84176.56</v>
      </c>
      <c r="O301">
        <v>84500</v>
      </c>
      <c r="P301">
        <v>479.78</v>
      </c>
      <c r="Q301">
        <v>103.54</v>
      </c>
      <c r="R301">
        <v>35</v>
      </c>
      <c r="S301">
        <v>6.5</v>
      </c>
      <c r="U301">
        <v>35000</v>
      </c>
      <c r="V301" t="s">
        <v>690</v>
      </c>
      <c r="W301" t="s">
        <v>716</v>
      </c>
      <c r="X301">
        <v>29189.52</v>
      </c>
      <c r="AA301">
        <v>16.899999999999999</v>
      </c>
      <c r="AC301">
        <v>50.484376470588231</v>
      </c>
    </row>
    <row r="302" spans="1:29" x14ac:dyDescent="0.3">
      <c r="A302" t="s">
        <v>328</v>
      </c>
      <c r="B302" t="s">
        <v>936</v>
      </c>
      <c r="C302" t="s">
        <v>933</v>
      </c>
      <c r="I302">
        <v>463000</v>
      </c>
      <c r="J302">
        <v>475000</v>
      </c>
      <c r="K302">
        <v>475000</v>
      </c>
      <c r="L302">
        <v>260000</v>
      </c>
      <c r="M302">
        <v>22000</v>
      </c>
      <c r="N302">
        <v>238000</v>
      </c>
      <c r="O302">
        <v>237500</v>
      </c>
      <c r="P302">
        <v>1000.03</v>
      </c>
      <c r="Q302">
        <v>204.75</v>
      </c>
      <c r="R302">
        <v>35</v>
      </c>
      <c r="S302">
        <v>2.99</v>
      </c>
      <c r="X302">
        <v>49547.17</v>
      </c>
      <c r="AA302">
        <v>3.36</v>
      </c>
      <c r="AC302">
        <v>48.596112311015119</v>
      </c>
    </row>
    <row r="303" spans="1:29" x14ac:dyDescent="0.3">
      <c r="A303" t="s">
        <v>329</v>
      </c>
      <c r="B303" t="s">
        <v>937</v>
      </c>
      <c r="C303" t="s">
        <v>938</v>
      </c>
      <c r="E303">
        <v>13319.9</v>
      </c>
      <c r="F303" t="s">
        <v>711</v>
      </c>
      <c r="G303" t="s">
        <v>690</v>
      </c>
      <c r="I303">
        <v>238000</v>
      </c>
      <c r="J303">
        <v>178000</v>
      </c>
      <c r="K303">
        <v>248000</v>
      </c>
      <c r="L303">
        <v>172000</v>
      </c>
      <c r="M303">
        <v>46016.480000000003</v>
      </c>
      <c r="N303">
        <v>125983.52</v>
      </c>
      <c r="O303">
        <v>124300</v>
      </c>
      <c r="P303">
        <v>759</v>
      </c>
      <c r="Q303">
        <v>126.35</v>
      </c>
      <c r="R303">
        <v>35</v>
      </c>
      <c r="S303">
        <v>6.125</v>
      </c>
      <c r="U303">
        <v>76405.350000000006</v>
      </c>
      <c r="V303" t="s">
        <v>690</v>
      </c>
      <c r="W303" t="s">
        <v>694</v>
      </c>
      <c r="X303">
        <v>30655.82</v>
      </c>
      <c r="AA303">
        <v>18.93</v>
      </c>
      <c r="AC303">
        <v>47.065747899159661</v>
      </c>
    </row>
    <row r="304" spans="1:29" x14ac:dyDescent="0.3">
      <c r="A304" t="s">
        <v>331</v>
      </c>
      <c r="B304" t="s">
        <v>939</v>
      </c>
      <c r="C304" t="s">
        <v>940</v>
      </c>
      <c r="E304">
        <v>60913.02</v>
      </c>
      <c r="F304" t="s">
        <v>700</v>
      </c>
      <c r="G304" t="s">
        <v>690</v>
      </c>
      <c r="I304">
        <v>168000</v>
      </c>
      <c r="J304">
        <v>130300</v>
      </c>
      <c r="K304">
        <v>170300</v>
      </c>
      <c r="L304">
        <v>136000</v>
      </c>
      <c r="M304">
        <v>30766</v>
      </c>
      <c r="N304">
        <v>105234</v>
      </c>
      <c r="P304">
        <v>609.28</v>
      </c>
      <c r="Q304">
        <v>110.34</v>
      </c>
      <c r="R304">
        <v>35</v>
      </c>
      <c r="X304">
        <v>30932.7</v>
      </c>
      <c r="AA304">
        <v>11.41</v>
      </c>
      <c r="AC304">
        <v>37.36071428571428</v>
      </c>
    </row>
    <row r="305" spans="1:29" x14ac:dyDescent="0.3">
      <c r="A305" t="s">
        <v>331</v>
      </c>
      <c r="C305" t="s">
        <v>941</v>
      </c>
      <c r="E305">
        <v>1368.12</v>
      </c>
      <c r="F305" t="s">
        <v>910</v>
      </c>
      <c r="G305" t="s">
        <v>690</v>
      </c>
      <c r="I305">
        <v>167000</v>
      </c>
      <c r="J305">
        <v>92000</v>
      </c>
      <c r="K305">
        <v>167000</v>
      </c>
      <c r="L305">
        <v>165000</v>
      </c>
      <c r="N305">
        <v>153000</v>
      </c>
      <c r="O305">
        <v>153950</v>
      </c>
      <c r="P305">
        <v>766.38</v>
      </c>
      <c r="R305">
        <v>35</v>
      </c>
      <c r="S305">
        <v>4.3499999999999996</v>
      </c>
      <c r="AC305">
        <v>8.3832335329341312</v>
      </c>
    </row>
    <row r="306" spans="1:29" x14ac:dyDescent="0.3">
      <c r="A306" t="s">
        <v>332</v>
      </c>
      <c r="B306" t="s">
        <v>942</v>
      </c>
      <c r="C306" t="s">
        <v>943</v>
      </c>
      <c r="I306">
        <v>230000</v>
      </c>
      <c r="J306">
        <v>0</v>
      </c>
      <c r="K306">
        <v>246000</v>
      </c>
      <c r="L306">
        <v>190000</v>
      </c>
      <c r="M306">
        <v>7500</v>
      </c>
      <c r="N306">
        <v>182500</v>
      </c>
      <c r="O306">
        <v>182530.76</v>
      </c>
      <c r="P306">
        <v>845.33</v>
      </c>
      <c r="Q306">
        <v>120.47</v>
      </c>
      <c r="R306">
        <v>35</v>
      </c>
      <c r="S306">
        <v>3.75</v>
      </c>
      <c r="X306">
        <v>38463.199999999997</v>
      </c>
      <c r="AA306">
        <v>5.55</v>
      </c>
      <c r="AC306">
        <v>20.65217391304348</v>
      </c>
    </row>
    <row r="307" spans="1:29" x14ac:dyDescent="0.3">
      <c r="A307" t="s">
        <v>333</v>
      </c>
      <c r="B307" t="s">
        <v>944</v>
      </c>
      <c r="C307" t="s">
        <v>945</v>
      </c>
      <c r="E307">
        <v>74408.31</v>
      </c>
      <c r="F307" t="s">
        <v>946</v>
      </c>
      <c r="G307" t="s">
        <v>690</v>
      </c>
      <c r="I307">
        <v>124000</v>
      </c>
      <c r="J307">
        <v>103000</v>
      </c>
      <c r="K307">
        <v>138000</v>
      </c>
      <c r="L307">
        <v>110000</v>
      </c>
      <c r="M307">
        <v>1239.1199999999949</v>
      </c>
      <c r="N307">
        <v>108760.88</v>
      </c>
      <c r="O307">
        <v>106700</v>
      </c>
      <c r="P307">
        <v>540.63</v>
      </c>
      <c r="Q307">
        <v>87.85</v>
      </c>
      <c r="R307">
        <v>35</v>
      </c>
      <c r="S307">
        <v>4.5</v>
      </c>
      <c r="X307">
        <v>34159.15</v>
      </c>
      <c r="AA307">
        <v>11.03</v>
      </c>
      <c r="AC307">
        <v>12.2896129032258</v>
      </c>
    </row>
    <row r="308" spans="1:29" x14ac:dyDescent="0.3">
      <c r="A308" t="s">
        <v>334</v>
      </c>
      <c r="B308" t="s">
        <v>947</v>
      </c>
      <c r="C308" t="s">
        <v>948</v>
      </c>
      <c r="E308">
        <v>54624</v>
      </c>
      <c r="F308" t="s">
        <v>922</v>
      </c>
      <c r="G308" t="s">
        <v>690</v>
      </c>
      <c r="I308">
        <v>200000</v>
      </c>
      <c r="J308">
        <v>163000</v>
      </c>
      <c r="K308">
        <v>213000</v>
      </c>
      <c r="L308">
        <v>116175</v>
      </c>
      <c r="M308">
        <v>16621.189999999999</v>
      </c>
      <c r="N308">
        <v>99553.81</v>
      </c>
      <c r="P308">
        <v>624.96</v>
      </c>
      <c r="Q308">
        <v>181.09</v>
      </c>
      <c r="R308">
        <v>35</v>
      </c>
      <c r="U308">
        <v>35000</v>
      </c>
      <c r="V308" t="s">
        <v>690</v>
      </c>
      <c r="W308" t="s">
        <v>716</v>
      </c>
      <c r="X308">
        <v>33912</v>
      </c>
      <c r="AA308">
        <v>16.97</v>
      </c>
      <c r="AC308">
        <v>50.223094999999986</v>
      </c>
    </row>
    <row r="309" spans="1:29" x14ac:dyDescent="0.3">
      <c r="A309" t="s">
        <v>335</v>
      </c>
      <c r="B309" t="s">
        <v>949</v>
      </c>
      <c r="C309" t="s">
        <v>950</v>
      </c>
      <c r="E309">
        <v>108927.64</v>
      </c>
      <c r="F309" t="s">
        <v>951</v>
      </c>
      <c r="G309" t="s">
        <v>690</v>
      </c>
      <c r="I309">
        <v>295000</v>
      </c>
      <c r="J309">
        <v>225000</v>
      </c>
      <c r="K309">
        <v>325000</v>
      </c>
      <c r="L309">
        <v>267150</v>
      </c>
      <c r="M309">
        <v>22000</v>
      </c>
      <c r="N309">
        <v>245150</v>
      </c>
      <c r="O309">
        <v>245650</v>
      </c>
      <c r="P309">
        <v>1086.01</v>
      </c>
      <c r="Q309">
        <v>154.63999999999999</v>
      </c>
      <c r="R309">
        <v>35</v>
      </c>
      <c r="S309">
        <v>3.375</v>
      </c>
      <c r="X309">
        <v>55608.13</v>
      </c>
      <c r="AA309">
        <v>5.2</v>
      </c>
      <c r="AC309">
        <v>16.898305084745761</v>
      </c>
    </row>
    <row r="310" spans="1:29" x14ac:dyDescent="0.3">
      <c r="A310" t="s">
        <v>336</v>
      </c>
      <c r="B310" t="s">
        <v>952</v>
      </c>
      <c r="C310" t="s">
        <v>953</v>
      </c>
      <c r="I310">
        <v>401100</v>
      </c>
      <c r="J310">
        <v>210000</v>
      </c>
      <c r="K310">
        <v>410000</v>
      </c>
      <c r="L310">
        <v>280000</v>
      </c>
      <c r="M310">
        <v>35000</v>
      </c>
      <c r="N310">
        <v>245000</v>
      </c>
      <c r="O310">
        <v>242500</v>
      </c>
      <c r="P310">
        <v>1357.17</v>
      </c>
      <c r="Q310">
        <v>221</v>
      </c>
      <c r="R310">
        <v>35</v>
      </c>
      <c r="S310">
        <v>5.37</v>
      </c>
      <c r="X310">
        <v>54920.33</v>
      </c>
      <c r="AC310">
        <v>38.917975567190219</v>
      </c>
    </row>
    <row r="311" spans="1:29" x14ac:dyDescent="0.3">
      <c r="A311" t="s">
        <v>337</v>
      </c>
      <c r="B311" t="s">
        <v>954</v>
      </c>
      <c r="C311" t="s">
        <v>955</v>
      </c>
      <c r="E311">
        <v>69562.350000000006</v>
      </c>
      <c r="F311" t="s">
        <v>852</v>
      </c>
      <c r="G311" t="s">
        <v>690</v>
      </c>
      <c r="I311">
        <v>245000</v>
      </c>
      <c r="J311">
        <v>161000</v>
      </c>
      <c r="K311">
        <v>231000</v>
      </c>
      <c r="L311">
        <v>180000</v>
      </c>
      <c r="M311">
        <v>15000</v>
      </c>
      <c r="N311">
        <v>165000</v>
      </c>
      <c r="O311">
        <v>140500</v>
      </c>
      <c r="P311">
        <v>754.23</v>
      </c>
      <c r="Q311">
        <v>133.44999999999999</v>
      </c>
      <c r="R311">
        <v>35</v>
      </c>
      <c r="S311">
        <v>5</v>
      </c>
      <c r="U311">
        <v>42783.03</v>
      </c>
      <c r="V311" t="s">
        <v>690</v>
      </c>
      <c r="W311" t="s">
        <v>956</v>
      </c>
      <c r="X311">
        <v>34209.67</v>
      </c>
      <c r="AA311">
        <v>7.53</v>
      </c>
      <c r="AC311">
        <v>32.653061224489797</v>
      </c>
    </row>
    <row r="312" spans="1:29" x14ac:dyDescent="0.3">
      <c r="A312" t="s">
        <v>338</v>
      </c>
      <c r="B312" t="s">
        <v>843</v>
      </c>
      <c r="C312" t="s">
        <v>957</v>
      </c>
      <c r="E312">
        <v>74205.78</v>
      </c>
      <c r="F312" t="s">
        <v>720</v>
      </c>
      <c r="G312" t="s">
        <v>690</v>
      </c>
      <c r="I312">
        <v>137500</v>
      </c>
      <c r="J312">
        <v>98000</v>
      </c>
      <c r="K312">
        <v>148000</v>
      </c>
      <c r="L312">
        <v>125000</v>
      </c>
      <c r="M312">
        <v>11374.45</v>
      </c>
      <c r="N312">
        <v>113625.55</v>
      </c>
      <c r="O312">
        <v>88000</v>
      </c>
      <c r="P312">
        <v>452.45</v>
      </c>
      <c r="Q312">
        <v>73.509999999999991</v>
      </c>
      <c r="R312">
        <v>35</v>
      </c>
      <c r="S312">
        <v>4.625</v>
      </c>
      <c r="X312">
        <v>31426</v>
      </c>
      <c r="AA312">
        <v>12.01</v>
      </c>
      <c r="AC312">
        <v>17.363236363636361</v>
      </c>
    </row>
    <row r="313" spans="1:29" x14ac:dyDescent="0.3">
      <c r="A313" t="s">
        <v>339</v>
      </c>
      <c r="B313" t="s">
        <v>958</v>
      </c>
      <c r="C313" t="s">
        <v>756</v>
      </c>
      <c r="I313">
        <v>410000</v>
      </c>
      <c r="J313">
        <v>293000</v>
      </c>
      <c r="K313">
        <v>418000</v>
      </c>
      <c r="L313">
        <v>285000</v>
      </c>
      <c r="M313">
        <v>67000</v>
      </c>
      <c r="N313">
        <v>218000</v>
      </c>
      <c r="O313">
        <v>218800</v>
      </c>
      <c r="P313">
        <v>1347.19</v>
      </c>
      <c r="Q313">
        <v>254.08</v>
      </c>
      <c r="R313">
        <v>35</v>
      </c>
      <c r="S313">
        <v>6.25</v>
      </c>
      <c r="X313">
        <v>70950.080000000002</v>
      </c>
      <c r="AA313">
        <v>0.28000000000000003</v>
      </c>
      <c r="AC313">
        <v>46.829268292682933</v>
      </c>
    </row>
    <row r="314" spans="1:29" x14ac:dyDescent="0.3">
      <c r="A314" t="s">
        <v>340</v>
      </c>
      <c r="B314" t="s">
        <v>959</v>
      </c>
      <c r="C314" t="s">
        <v>960</v>
      </c>
      <c r="I314">
        <v>392000</v>
      </c>
      <c r="J314">
        <v>415000</v>
      </c>
      <c r="K314">
        <v>415000</v>
      </c>
      <c r="L314">
        <v>310000</v>
      </c>
      <c r="M314">
        <v>10000</v>
      </c>
      <c r="N314">
        <v>300000</v>
      </c>
      <c r="O314">
        <v>228000</v>
      </c>
      <c r="P314">
        <v>915.76</v>
      </c>
      <c r="Q314">
        <v>108.92</v>
      </c>
      <c r="R314">
        <v>35</v>
      </c>
      <c r="S314">
        <v>2.625</v>
      </c>
      <c r="X314">
        <v>42542.91</v>
      </c>
      <c r="AA314">
        <v>3.75</v>
      </c>
      <c r="AC314">
        <v>23.469387755102041</v>
      </c>
    </row>
    <row r="315" spans="1:29" x14ac:dyDescent="0.3">
      <c r="A315" t="s">
        <v>341</v>
      </c>
      <c r="B315" t="s">
        <v>961</v>
      </c>
      <c r="C315" t="s">
        <v>962</v>
      </c>
      <c r="E315">
        <v>53376.06</v>
      </c>
      <c r="F315" t="s">
        <v>946</v>
      </c>
      <c r="G315" t="s">
        <v>690</v>
      </c>
      <c r="I315">
        <v>122500</v>
      </c>
      <c r="J315">
        <v>88000</v>
      </c>
      <c r="K315">
        <v>133000</v>
      </c>
      <c r="L315">
        <v>92500</v>
      </c>
      <c r="M315">
        <v>6191.8899999999994</v>
      </c>
      <c r="N315">
        <v>86308.11</v>
      </c>
      <c r="O315">
        <v>90000</v>
      </c>
      <c r="P315">
        <v>476.29</v>
      </c>
      <c r="Q315">
        <v>95.59</v>
      </c>
      <c r="R315">
        <v>35</v>
      </c>
      <c r="S315">
        <v>4.875</v>
      </c>
      <c r="X315">
        <v>29024</v>
      </c>
      <c r="AA315">
        <v>12.16</v>
      </c>
      <c r="AC315">
        <v>29.5444</v>
      </c>
    </row>
    <row r="316" spans="1:29" x14ac:dyDescent="0.3">
      <c r="A316" t="s">
        <v>342</v>
      </c>
      <c r="B316" t="s">
        <v>963</v>
      </c>
      <c r="C316" t="s">
        <v>964</v>
      </c>
      <c r="I316">
        <v>327000</v>
      </c>
      <c r="J316">
        <v>164000</v>
      </c>
      <c r="K316">
        <v>339000</v>
      </c>
      <c r="L316">
        <v>290000</v>
      </c>
      <c r="M316">
        <v>35000</v>
      </c>
      <c r="N316">
        <v>255000</v>
      </c>
      <c r="O316">
        <v>255000</v>
      </c>
      <c r="P316">
        <v>1368.9</v>
      </c>
      <c r="Q316">
        <v>140.04</v>
      </c>
      <c r="R316">
        <v>35</v>
      </c>
      <c r="S316">
        <v>5</v>
      </c>
      <c r="X316">
        <v>77044.2</v>
      </c>
      <c r="AA316">
        <v>2.75</v>
      </c>
      <c r="AC316">
        <v>22.01834862385321</v>
      </c>
    </row>
    <row r="317" spans="1:29" x14ac:dyDescent="0.3">
      <c r="A317" t="s">
        <v>343</v>
      </c>
      <c r="B317" t="s">
        <v>783</v>
      </c>
      <c r="C317" t="s">
        <v>965</v>
      </c>
      <c r="E317">
        <v>84549.25</v>
      </c>
      <c r="F317" t="s">
        <v>846</v>
      </c>
      <c r="G317" t="s">
        <v>690</v>
      </c>
      <c r="I317">
        <v>174000</v>
      </c>
      <c r="J317">
        <v>136000</v>
      </c>
      <c r="K317">
        <v>174000</v>
      </c>
      <c r="L317">
        <v>159000</v>
      </c>
      <c r="M317">
        <v>43507.460000000006</v>
      </c>
      <c r="N317">
        <v>115492.54</v>
      </c>
      <c r="O317">
        <v>114000</v>
      </c>
      <c r="P317">
        <v>594.67999999999995</v>
      </c>
      <c r="Q317">
        <v>171.34</v>
      </c>
      <c r="R317">
        <v>35</v>
      </c>
      <c r="S317">
        <v>4.75</v>
      </c>
      <c r="X317">
        <v>41162.36</v>
      </c>
      <c r="AA317">
        <v>9.7200000000000006</v>
      </c>
      <c r="AC317">
        <v>33.624977011494259</v>
      </c>
    </row>
    <row r="318" spans="1:29" x14ac:dyDescent="0.3">
      <c r="A318" t="s">
        <v>344</v>
      </c>
      <c r="B318" t="s">
        <v>966</v>
      </c>
      <c r="C318" t="s">
        <v>967</v>
      </c>
      <c r="E318">
        <v>91565.119999999995</v>
      </c>
      <c r="F318" t="s">
        <v>852</v>
      </c>
      <c r="G318" t="s">
        <v>690</v>
      </c>
      <c r="I318">
        <v>198000</v>
      </c>
      <c r="J318">
        <v>122000</v>
      </c>
      <c r="K318">
        <v>212000</v>
      </c>
      <c r="L318">
        <v>158100</v>
      </c>
      <c r="M318">
        <v>16366.320000000011</v>
      </c>
      <c r="N318">
        <v>141733.68</v>
      </c>
      <c r="O318">
        <v>143400</v>
      </c>
      <c r="P318">
        <v>780.79</v>
      </c>
      <c r="Q318">
        <v>164.74</v>
      </c>
      <c r="R318">
        <v>35</v>
      </c>
      <c r="S318">
        <v>5.125</v>
      </c>
      <c r="X318">
        <v>35404.81</v>
      </c>
      <c r="AA318">
        <v>8.9</v>
      </c>
      <c r="AC318">
        <v>28.417333333333339</v>
      </c>
    </row>
    <row r="319" spans="1:29" x14ac:dyDescent="0.3">
      <c r="A319" t="s">
        <v>344</v>
      </c>
      <c r="C319" t="s">
        <v>968</v>
      </c>
      <c r="I319">
        <v>413000</v>
      </c>
      <c r="J319">
        <v>432000</v>
      </c>
      <c r="K319">
        <v>432000</v>
      </c>
      <c r="L319">
        <v>300000</v>
      </c>
      <c r="N319">
        <v>290000</v>
      </c>
      <c r="O319">
        <v>290156</v>
      </c>
      <c r="P319">
        <v>1165.4100000000001</v>
      </c>
      <c r="R319">
        <v>35</v>
      </c>
      <c r="S319">
        <v>2.625</v>
      </c>
      <c r="AC319">
        <v>29.78208232445521</v>
      </c>
    </row>
    <row r="320" spans="1:29" x14ac:dyDescent="0.3">
      <c r="A320" t="s">
        <v>345</v>
      </c>
      <c r="B320" t="s">
        <v>696</v>
      </c>
      <c r="C320" t="s">
        <v>969</v>
      </c>
      <c r="E320">
        <v>52243.82</v>
      </c>
      <c r="F320" t="s">
        <v>946</v>
      </c>
      <c r="G320" t="s">
        <v>690</v>
      </c>
      <c r="I320">
        <v>142000</v>
      </c>
      <c r="J320">
        <v>120000</v>
      </c>
      <c r="K320">
        <v>155000</v>
      </c>
      <c r="L320">
        <v>154600</v>
      </c>
      <c r="M320">
        <v>894.23999999999069</v>
      </c>
      <c r="N320">
        <v>153705.76</v>
      </c>
      <c r="O320">
        <v>119000</v>
      </c>
      <c r="P320">
        <v>620.77</v>
      </c>
      <c r="Q320">
        <v>109.5</v>
      </c>
      <c r="R320">
        <v>35</v>
      </c>
      <c r="S320">
        <v>4.75</v>
      </c>
      <c r="X320">
        <v>36176.51</v>
      </c>
      <c r="AA320">
        <v>12.69</v>
      </c>
      <c r="AC320">
        <v>-8.2434929577464899</v>
      </c>
    </row>
    <row r="321" spans="1:29" x14ac:dyDescent="0.3">
      <c r="A321" t="s">
        <v>346</v>
      </c>
      <c r="B321" t="s">
        <v>970</v>
      </c>
      <c r="C321" t="s">
        <v>971</v>
      </c>
      <c r="I321">
        <v>371000</v>
      </c>
      <c r="J321">
        <v>270000</v>
      </c>
      <c r="K321">
        <v>380000</v>
      </c>
      <c r="L321">
        <v>257000</v>
      </c>
      <c r="M321">
        <v>45000</v>
      </c>
      <c r="N321">
        <v>212000</v>
      </c>
      <c r="O321">
        <v>209800</v>
      </c>
      <c r="P321">
        <v>1191.22</v>
      </c>
      <c r="Q321">
        <v>214.97</v>
      </c>
      <c r="R321">
        <v>35</v>
      </c>
      <c r="S321">
        <v>5.5</v>
      </c>
      <c r="X321">
        <v>51526.12</v>
      </c>
      <c r="AA321">
        <v>0.72</v>
      </c>
      <c r="AC321">
        <v>42.857142857142861</v>
      </c>
    </row>
    <row r="322" spans="1:29" x14ac:dyDescent="0.3">
      <c r="A322" t="s">
        <v>347</v>
      </c>
      <c r="B322" t="s">
        <v>972</v>
      </c>
      <c r="C322" t="s">
        <v>973</v>
      </c>
      <c r="E322">
        <v>69639.08</v>
      </c>
      <c r="F322" t="s">
        <v>946</v>
      </c>
      <c r="G322" t="s">
        <v>690</v>
      </c>
      <c r="I322">
        <v>122000</v>
      </c>
      <c r="J322">
        <v>100000</v>
      </c>
      <c r="K322">
        <v>135000</v>
      </c>
      <c r="L322">
        <v>75000</v>
      </c>
      <c r="M322">
        <v>1433.580000000002</v>
      </c>
      <c r="N322">
        <v>73566.42</v>
      </c>
      <c r="O322">
        <v>67500</v>
      </c>
      <c r="P322">
        <v>317.41000000000003</v>
      </c>
      <c r="Q322">
        <v>102.61</v>
      </c>
      <c r="R322">
        <v>35</v>
      </c>
      <c r="S322">
        <v>3.875</v>
      </c>
      <c r="X322">
        <v>21016</v>
      </c>
      <c r="AA322">
        <v>12.68</v>
      </c>
      <c r="AC322">
        <v>39.699655737704923</v>
      </c>
    </row>
    <row r="323" spans="1:29" x14ac:dyDescent="0.3">
      <c r="A323" t="s">
        <v>347</v>
      </c>
      <c r="C323" t="s">
        <v>827</v>
      </c>
      <c r="I323">
        <v>400708</v>
      </c>
      <c r="J323">
        <v>310000</v>
      </c>
      <c r="K323">
        <v>410000</v>
      </c>
      <c r="L323">
        <v>315000</v>
      </c>
      <c r="N323">
        <v>250000</v>
      </c>
      <c r="O323">
        <v>248850</v>
      </c>
      <c r="P323">
        <v>1392.71</v>
      </c>
      <c r="R323">
        <v>35</v>
      </c>
      <c r="S323">
        <v>5.37</v>
      </c>
      <c r="AC323">
        <v>37.610429539714708</v>
      </c>
    </row>
    <row r="324" spans="1:29" x14ac:dyDescent="0.3">
      <c r="A324" t="s">
        <v>348</v>
      </c>
      <c r="B324" t="s">
        <v>974</v>
      </c>
      <c r="C324" t="s">
        <v>975</v>
      </c>
      <c r="I324">
        <v>305000</v>
      </c>
      <c r="J324">
        <v>241000</v>
      </c>
      <c r="K324">
        <v>327000</v>
      </c>
      <c r="L324">
        <v>256000</v>
      </c>
      <c r="M324">
        <v>32000</v>
      </c>
      <c r="N324">
        <v>224000</v>
      </c>
      <c r="O324">
        <v>224000</v>
      </c>
      <c r="P324">
        <v>885.07</v>
      </c>
      <c r="Q324">
        <v>192.81</v>
      </c>
      <c r="R324">
        <v>35</v>
      </c>
      <c r="S324">
        <v>2.5</v>
      </c>
      <c r="X324">
        <v>50220.79</v>
      </c>
      <c r="AA324">
        <v>4.21</v>
      </c>
      <c r="AC324">
        <v>26.557377049180332</v>
      </c>
    </row>
    <row r="325" spans="1:29" x14ac:dyDescent="0.3">
      <c r="A325" t="s">
        <v>349</v>
      </c>
      <c r="B325" t="s">
        <v>976</v>
      </c>
      <c r="C325" t="s">
        <v>977</v>
      </c>
      <c r="E325">
        <v>36926.44</v>
      </c>
      <c r="F325" t="s">
        <v>711</v>
      </c>
      <c r="G325" t="s">
        <v>690</v>
      </c>
      <c r="I325">
        <v>260000</v>
      </c>
      <c r="J325">
        <v>160000</v>
      </c>
      <c r="K325">
        <v>270000</v>
      </c>
      <c r="L325">
        <v>180000</v>
      </c>
      <c r="M325">
        <v>51901.7</v>
      </c>
      <c r="N325">
        <v>128098.3</v>
      </c>
      <c r="O325">
        <v>128000</v>
      </c>
      <c r="P325">
        <v>788</v>
      </c>
      <c r="Q325">
        <v>147.79</v>
      </c>
      <c r="R325">
        <v>35</v>
      </c>
      <c r="S325">
        <v>6.125</v>
      </c>
      <c r="U325">
        <v>35000</v>
      </c>
      <c r="V325" t="s">
        <v>690</v>
      </c>
      <c r="W325" t="s">
        <v>712</v>
      </c>
      <c r="X325">
        <v>44066</v>
      </c>
      <c r="AA325">
        <v>19.649999999999999</v>
      </c>
      <c r="AC325">
        <v>50.731423076923079</v>
      </c>
    </row>
    <row r="326" spans="1:29" x14ac:dyDescent="0.3">
      <c r="A326" t="s">
        <v>350</v>
      </c>
      <c r="B326" t="s">
        <v>978</v>
      </c>
      <c r="C326" t="s">
        <v>797</v>
      </c>
      <c r="J326">
        <v>0</v>
      </c>
      <c r="L326">
        <v>300000</v>
      </c>
      <c r="M326">
        <v>300000</v>
      </c>
      <c r="O326">
        <v>241300</v>
      </c>
      <c r="P326">
        <v>1545.07</v>
      </c>
      <c r="Q326">
        <v>0</v>
      </c>
      <c r="S326">
        <v>6.625</v>
      </c>
      <c r="X326">
        <v>56781.87</v>
      </c>
    </row>
    <row r="327" spans="1:29" x14ac:dyDescent="0.3">
      <c r="A327" t="s">
        <v>352</v>
      </c>
      <c r="B327" t="s">
        <v>979</v>
      </c>
      <c r="C327" t="s">
        <v>980</v>
      </c>
      <c r="E327">
        <v>79988.649999999994</v>
      </c>
      <c r="F327" t="s">
        <v>784</v>
      </c>
      <c r="G327" t="s">
        <v>690</v>
      </c>
      <c r="I327">
        <v>142000</v>
      </c>
      <c r="J327">
        <v>125000</v>
      </c>
      <c r="K327">
        <v>155000</v>
      </c>
      <c r="L327">
        <v>128700</v>
      </c>
      <c r="M327">
        <v>16188.429999999989</v>
      </c>
      <c r="N327">
        <v>112511.57</v>
      </c>
      <c r="O327">
        <v>112098</v>
      </c>
      <c r="P327">
        <v>551.45000000000005</v>
      </c>
      <c r="Q327">
        <v>165.24</v>
      </c>
      <c r="R327">
        <v>35</v>
      </c>
      <c r="S327">
        <v>4.25</v>
      </c>
      <c r="X327">
        <v>32280.36</v>
      </c>
      <c r="AA327">
        <v>13.37</v>
      </c>
      <c r="AC327">
        <v>20.766500000000001</v>
      </c>
    </row>
    <row r="328" spans="1:29" x14ac:dyDescent="0.3">
      <c r="A328" t="s">
        <v>353</v>
      </c>
      <c r="B328" t="s">
        <v>981</v>
      </c>
      <c r="C328" t="s">
        <v>982</v>
      </c>
      <c r="E328">
        <v>96266.39</v>
      </c>
      <c r="F328" t="s">
        <v>872</v>
      </c>
      <c r="G328" t="s">
        <v>690</v>
      </c>
      <c r="I328">
        <v>184000</v>
      </c>
      <c r="J328">
        <v>148000</v>
      </c>
      <c r="K328">
        <v>198000</v>
      </c>
      <c r="L328">
        <v>155000</v>
      </c>
      <c r="M328">
        <v>12000</v>
      </c>
      <c r="N328">
        <v>143000</v>
      </c>
      <c r="O328">
        <v>144140</v>
      </c>
      <c r="P328">
        <v>719.67</v>
      </c>
      <c r="Q328">
        <v>139.11000000000001</v>
      </c>
      <c r="R328">
        <v>35</v>
      </c>
      <c r="S328">
        <v>4.375</v>
      </c>
      <c r="X328">
        <v>46822.89</v>
      </c>
      <c r="AA328">
        <v>10.27</v>
      </c>
      <c r="AC328">
        <v>22.282608695652169</v>
      </c>
    </row>
    <row r="329" spans="1:29" x14ac:dyDescent="0.3">
      <c r="A329" t="s">
        <v>354</v>
      </c>
      <c r="B329" t="s">
        <v>983</v>
      </c>
      <c r="C329" t="s">
        <v>984</v>
      </c>
      <c r="E329">
        <v>82786</v>
      </c>
      <c r="F329" t="s">
        <v>868</v>
      </c>
      <c r="G329" t="s">
        <v>690</v>
      </c>
      <c r="I329">
        <v>145000</v>
      </c>
      <c r="J329">
        <v>123000</v>
      </c>
      <c r="K329">
        <v>158000</v>
      </c>
      <c r="L329">
        <v>133400</v>
      </c>
      <c r="M329">
        <v>45000</v>
      </c>
      <c r="N329">
        <v>88400</v>
      </c>
      <c r="P329">
        <v>436.38</v>
      </c>
      <c r="Q329">
        <v>154.22</v>
      </c>
      <c r="R329">
        <v>35</v>
      </c>
      <c r="X329">
        <v>26719.87</v>
      </c>
      <c r="AA329">
        <v>5.35</v>
      </c>
      <c r="AC329">
        <v>39.03448275862069</v>
      </c>
    </row>
    <row r="330" spans="1:29" x14ac:dyDescent="0.3">
      <c r="A330" t="s">
        <v>354</v>
      </c>
      <c r="C330" t="s">
        <v>985</v>
      </c>
      <c r="I330">
        <v>158000</v>
      </c>
      <c r="J330">
        <v>125000</v>
      </c>
      <c r="K330">
        <v>175000</v>
      </c>
      <c r="L330">
        <v>155000</v>
      </c>
      <c r="N330">
        <v>111239.65</v>
      </c>
      <c r="O330">
        <v>109795</v>
      </c>
      <c r="P330">
        <v>540.13</v>
      </c>
      <c r="R330">
        <v>35</v>
      </c>
      <c r="S330">
        <v>4.25</v>
      </c>
      <c r="AC330">
        <v>29.59515822784811</v>
      </c>
    </row>
    <row r="331" spans="1:29" x14ac:dyDescent="0.3">
      <c r="A331" t="s">
        <v>354</v>
      </c>
      <c r="B331" t="s">
        <v>986</v>
      </c>
      <c r="C331" t="s">
        <v>717</v>
      </c>
      <c r="I331">
        <v>385200</v>
      </c>
      <c r="J331">
        <v>205000</v>
      </c>
      <c r="K331">
        <v>395000</v>
      </c>
      <c r="L331">
        <v>320000</v>
      </c>
      <c r="M331">
        <v>65000</v>
      </c>
      <c r="N331">
        <v>255000</v>
      </c>
      <c r="O331">
        <v>252550</v>
      </c>
      <c r="P331">
        <v>1413.42</v>
      </c>
      <c r="Q331">
        <v>202.65</v>
      </c>
      <c r="R331">
        <v>35</v>
      </c>
      <c r="S331">
        <v>5.37</v>
      </c>
      <c r="X331">
        <v>59503.44</v>
      </c>
      <c r="AA331">
        <v>1.05</v>
      </c>
      <c r="AC331">
        <v>33.800623052959502</v>
      </c>
    </row>
    <row r="332" spans="1:29" x14ac:dyDescent="0.3">
      <c r="A332" t="s">
        <v>357</v>
      </c>
      <c r="B332" t="s">
        <v>987</v>
      </c>
      <c r="C332" t="s">
        <v>988</v>
      </c>
      <c r="E332">
        <v>40794</v>
      </c>
      <c r="F332" t="s">
        <v>868</v>
      </c>
      <c r="G332" t="s">
        <v>690</v>
      </c>
      <c r="I332">
        <v>157100</v>
      </c>
      <c r="J332">
        <v>130000</v>
      </c>
      <c r="K332">
        <v>170000</v>
      </c>
      <c r="L332">
        <v>148000</v>
      </c>
      <c r="M332">
        <v>16148.37</v>
      </c>
      <c r="N332">
        <v>131851.63</v>
      </c>
      <c r="O332">
        <v>129500</v>
      </c>
      <c r="P332">
        <v>646.57000000000005</v>
      </c>
      <c r="Q332">
        <v>154.11000000000001</v>
      </c>
      <c r="R332">
        <v>35</v>
      </c>
      <c r="S332">
        <v>4.375</v>
      </c>
      <c r="U332">
        <v>35000</v>
      </c>
      <c r="V332" t="s">
        <v>690</v>
      </c>
      <c r="W332" t="s">
        <v>716</v>
      </c>
      <c r="X332">
        <v>40876.720000000001</v>
      </c>
      <c r="AA332">
        <v>16.48</v>
      </c>
      <c r="AC332">
        <v>16.07152768936982</v>
      </c>
    </row>
    <row r="333" spans="1:29" x14ac:dyDescent="0.3">
      <c r="A333" t="s">
        <v>358</v>
      </c>
      <c r="B333" t="s">
        <v>989</v>
      </c>
      <c r="C333" t="s">
        <v>717</v>
      </c>
      <c r="I333">
        <v>394800</v>
      </c>
      <c r="J333">
        <v>330000</v>
      </c>
      <c r="K333">
        <v>405000</v>
      </c>
      <c r="L333">
        <v>270000</v>
      </c>
      <c r="M333">
        <v>65000</v>
      </c>
      <c r="N333">
        <v>205000</v>
      </c>
      <c r="O333">
        <v>155000</v>
      </c>
      <c r="P333">
        <v>843.96</v>
      </c>
      <c r="Q333">
        <v>238.39</v>
      </c>
      <c r="R333">
        <v>35</v>
      </c>
      <c r="S333">
        <v>5.5</v>
      </c>
      <c r="X333">
        <v>52563.53</v>
      </c>
      <c r="AA333">
        <v>1.05</v>
      </c>
      <c r="AC333">
        <v>48.074974670719349</v>
      </c>
    </row>
    <row r="334" spans="1:29" x14ac:dyDescent="0.3">
      <c r="A334" t="s">
        <v>359</v>
      </c>
      <c r="B334" t="s">
        <v>721</v>
      </c>
      <c r="C334" t="s">
        <v>990</v>
      </c>
      <c r="I334">
        <v>201000</v>
      </c>
      <c r="J334">
        <v>137000</v>
      </c>
      <c r="K334">
        <v>217000</v>
      </c>
      <c r="L334">
        <v>160000</v>
      </c>
      <c r="M334">
        <v>16000</v>
      </c>
      <c r="N334">
        <v>144000</v>
      </c>
      <c r="O334">
        <v>145500</v>
      </c>
      <c r="P334">
        <v>684.19</v>
      </c>
      <c r="Q334">
        <v>86.2</v>
      </c>
      <c r="R334">
        <v>35</v>
      </c>
      <c r="S334">
        <v>3.875</v>
      </c>
      <c r="X334">
        <v>36492.53</v>
      </c>
      <c r="AA334">
        <v>6.3</v>
      </c>
      <c r="AC334">
        <v>28.35820895522388</v>
      </c>
    </row>
    <row r="335" spans="1:29" x14ac:dyDescent="0.3">
      <c r="A335" t="s">
        <v>360</v>
      </c>
      <c r="B335" t="s">
        <v>991</v>
      </c>
      <c r="C335" t="s">
        <v>945</v>
      </c>
      <c r="E335">
        <v>81572.44</v>
      </c>
      <c r="F335" t="s">
        <v>800</v>
      </c>
      <c r="G335" t="s">
        <v>690</v>
      </c>
      <c r="I335">
        <v>137000</v>
      </c>
      <c r="J335">
        <v>150000</v>
      </c>
      <c r="K335">
        <v>150000</v>
      </c>
      <c r="L335">
        <v>122000</v>
      </c>
      <c r="M335">
        <v>15000</v>
      </c>
      <c r="N335">
        <v>107000</v>
      </c>
      <c r="O335">
        <v>103500</v>
      </c>
      <c r="P335">
        <v>524.41999999999996</v>
      </c>
      <c r="Q335">
        <v>122.66</v>
      </c>
      <c r="R335">
        <v>35</v>
      </c>
      <c r="S335">
        <v>4.5</v>
      </c>
      <c r="X335">
        <v>28721.84</v>
      </c>
      <c r="AA335">
        <v>11.03</v>
      </c>
      <c r="AC335">
        <v>21.897810218978101</v>
      </c>
    </row>
    <row r="336" spans="1:29" x14ac:dyDescent="0.3">
      <c r="A336" t="s">
        <v>361</v>
      </c>
      <c r="B336" t="s">
        <v>992</v>
      </c>
      <c r="C336" t="s">
        <v>993</v>
      </c>
      <c r="E336">
        <v>98714.93</v>
      </c>
      <c r="F336" t="s">
        <v>720</v>
      </c>
      <c r="G336" t="s">
        <v>690</v>
      </c>
      <c r="I336">
        <v>125000</v>
      </c>
      <c r="J336">
        <v>116000</v>
      </c>
      <c r="K336">
        <v>135000</v>
      </c>
      <c r="L336">
        <v>124000</v>
      </c>
      <c r="M336">
        <v>15000</v>
      </c>
      <c r="N336">
        <v>109000</v>
      </c>
      <c r="O336">
        <v>98500</v>
      </c>
      <c r="P336">
        <v>484.56</v>
      </c>
      <c r="Q336">
        <v>267.89999999999998</v>
      </c>
      <c r="R336">
        <v>35</v>
      </c>
      <c r="S336">
        <v>4.25</v>
      </c>
      <c r="X336">
        <v>31176.01</v>
      </c>
      <c r="AA336">
        <v>7.17</v>
      </c>
      <c r="AC336">
        <v>12.8</v>
      </c>
    </row>
    <row r="337" spans="1:29" x14ac:dyDescent="0.3">
      <c r="A337" t="s">
        <v>361</v>
      </c>
      <c r="C337" t="s">
        <v>994</v>
      </c>
      <c r="I337">
        <v>261000</v>
      </c>
      <c r="J337">
        <v>205000</v>
      </c>
      <c r="K337">
        <v>275000</v>
      </c>
      <c r="L337">
        <v>215000</v>
      </c>
      <c r="N337">
        <v>199000</v>
      </c>
      <c r="O337">
        <v>200500</v>
      </c>
      <c r="P337">
        <v>986.34</v>
      </c>
      <c r="R337">
        <v>35</v>
      </c>
      <c r="S337">
        <v>4.25</v>
      </c>
      <c r="AC337">
        <v>23.754789272030649</v>
      </c>
    </row>
    <row r="338" spans="1:29" x14ac:dyDescent="0.3">
      <c r="A338" t="s">
        <v>362</v>
      </c>
      <c r="B338" t="s">
        <v>995</v>
      </c>
      <c r="C338" t="s">
        <v>996</v>
      </c>
      <c r="E338">
        <v>84340.34</v>
      </c>
      <c r="F338" t="s">
        <v>997</v>
      </c>
      <c r="G338" t="s">
        <v>690</v>
      </c>
      <c r="I338">
        <v>193000</v>
      </c>
      <c r="J338">
        <v>164000</v>
      </c>
      <c r="K338">
        <v>204000</v>
      </c>
      <c r="L338">
        <v>158500</v>
      </c>
      <c r="M338">
        <v>21917.989999999991</v>
      </c>
      <c r="N338">
        <v>136582.01</v>
      </c>
      <c r="O338">
        <v>139200</v>
      </c>
      <c r="P338">
        <v>779.48</v>
      </c>
      <c r="Q338">
        <v>177.32</v>
      </c>
      <c r="R338">
        <v>35</v>
      </c>
      <c r="S338">
        <v>5.375</v>
      </c>
      <c r="X338">
        <v>42744.5</v>
      </c>
      <c r="AA338">
        <v>11.45</v>
      </c>
      <c r="AC338">
        <v>29.232119170984451</v>
      </c>
    </row>
    <row r="339" spans="1:29" x14ac:dyDescent="0.3">
      <c r="A339" t="s">
        <v>363</v>
      </c>
      <c r="B339" t="s">
        <v>739</v>
      </c>
      <c r="C339" t="s">
        <v>998</v>
      </c>
      <c r="I339">
        <v>401000</v>
      </c>
      <c r="J339">
        <v>260000</v>
      </c>
      <c r="K339">
        <v>410000</v>
      </c>
      <c r="L339">
        <v>325000</v>
      </c>
      <c r="M339">
        <v>35000</v>
      </c>
      <c r="N339">
        <v>290000</v>
      </c>
      <c r="O339">
        <v>272500</v>
      </c>
      <c r="P339">
        <v>1633.78</v>
      </c>
      <c r="Q339">
        <v>222.12</v>
      </c>
      <c r="R339">
        <v>35</v>
      </c>
      <c r="S339">
        <v>6</v>
      </c>
      <c r="X339">
        <v>65068.13</v>
      </c>
      <c r="AA339">
        <v>2.0299999999999998</v>
      </c>
      <c r="AC339">
        <v>27.68079800498753</v>
      </c>
    </row>
    <row r="340" spans="1:29" x14ac:dyDescent="0.3">
      <c r="A340" t="s">
        <v>364</v>
      </c>
      <c r="B340" t="s">
        <v>999</v>
      </c>
      <c r="C340" t="s">
        <v>1000</v>
      </c>
      <c r="I340">
        <v>358000</v>
      </c>
      <c r="J340">
        <v>230000</v>
      </c>
      <c r="K340">
        <v>380000</v>
      </c>
      <c r="L340">
        <v>271000</v>
      </c>
      <c r="M340">
        <v>22000</v>
      </c>
      <c r="N340">
        <v>249000</v>
      </c>
      <c r="O340">
        <v>249000</v>
      </c>
      <c r="P340">
        <v>1066.6500000000001</v>
      </c>
      <c r="Q340">
        <v>241.83</v>
      </c>
      <c r="R340">
        <v>35</v>
      </c>
      <c r="S340">
        <v>3.125</v>
      </c>
      <c r="X340">
        <v>45407.86</v>
      </c>
      <c r="AA340">
        <v>4.09</v>
      </c>
      <c r="AC340">
        <v>30.44692737430168</v>
      </c>
    </row>
    <row r="341" spans="1:29" x14ac:dyDescent="0.3">
      <c r="A341" t="s">
        <v>366</v>
      </c>
      <c r="B341" t="s">
        <v>1001</v>
      </c>
      <c r="C341" t="s">
        <v>1002</v>
      </c>
      <c r="E341">
        <v>80487.78</v>
      </c>
      <c r="F341" t="s">
        <v>720</v>
      </c>
      <c r="G341" t="s">
        <v>690</v>
      </c>
      <c r="I341">
        <v>120000</v>
      </c>
      <c r="J341">
        <v>93800</v>
      </c>
      <c r="K341">
        <v>128800</v>
      </c>
      <c r="L341">
        <v>99000</v>
      </c>
      <c r="M341">
        <v>1061.2100000000059</v>
      </c>
      <c r="N341">
        <v>97938.79</v>
      </c>
      <c r="O341">
        <v>96030</v>
      </c>
      <c r="P341">
        <v>493.73</v>
      </c>
      <c r="Q341">
        <v>129.38999999999999</v>
      </c>
      <c r="R341">
        <v>35</v>
      </c>
      <c r="S341">
        <v>5</v>
      </c>
      <c r="X341">
        <v>37357.06</v>
      </c>
      <c r="AA341">
        <v>15.98</v>
      </c>
      <c r="AC341">
        <v>18.384341666666671</v>
      </c>
    </row>
    <row r="342" spans="1:29" x14ac:dyDescent="0.3">
      <c r="A342" t="s">
        <v>368</v>
      </c>
      <c r="B342" t="s">
        <v>814</v>
      </c>
      <c r="C342" t="s">
        <v>1003</v>
      </c>
      <c r="E342">
        <v>73876.7</v>
      </c>
      <c r="F342" t="s">
        <v>720</v>
      </c>
      <c r="G342" t="s">
        <v>690</v>
      </c>
      <c r="I342">
        <v>100000</v>
      </c>
      <c r="J342">
        <v>92000</v>
      </c>
      <c r="K342">
        <v>107000</v>
      </c>
      <c r="L342">
        <v>90350</v>
      </c>
      <c r="M342">
        <v>7641.4600000000064</v>
      </c>
      <c r="N342">
        <v>82708.539999999994</v>
      </c>
      <c r="O342">
        <v>85686</v>
      </c>
      <c r="P342">
        <v>465.62</v>
      </c>
      <c r="Q342">
        <v>107.38</v>
      </c>
      <c r="R342">
        <v>35</v>
      </c>
      <c r="S342">
        <v>5</v>
      </c>
      <c r="X342">
        <v>28000</v>
      </c>
      <c r="AA342">
        <v>14.23</v>
      </c>
      <c r="AC342">
        <v>17.291460000000001</v>
      </c>
    </row>
    <row r="343" spans="1:29" x14ac:dyDescent="0.3">
      <c r="A343" t="s">
        <v>369</v>
      </c>
      <c r="B343" t="s">
        <v>1004</v>
      </c>
      <c r="C343" t="s">
        <v>1005</v>
      </c>
      <c r="E343">
        <v>45530</v>
      </c>
      <c r="F343" t="s">
        <v>868</v>
      </c>
      <c r="G343" t="s">
        <v>690</v>
      </c>
      <c r="I343">
        <v>135000</v>
      </c>
      <c r="J343">
        <v>73000</v>
      </c>
      <c r="K343">
        <v>148000</v>
      </c>
      <c r="L343">
        <v>131000</v>
      </c>
      <c r="M343">
        <v>16196.509999999989</v>
      </c>
      <c r="N343">
        <v>114803.49</v>
      </c>
      <c r="O343">
        <v>115750</v>
      </c>
      <c r="P343">
        <v>630.24</v>
      </c>
      <c r="Q343">
        <v>148.78</v>
      </c>
      <c r="R343">
        <v>35</v>
      </c>
      <c r="S343">
        <v>5.125</v>
      </c>
      <c r="U343">
        <v>35000</v>
      </c>
      <c r="V343" t="s">
        <v>690</v>
      </c>
      <c r="W343" t="s">
        <v>716</v>
      </c>
      <c r="X343">
        <v>36760.879999999997</v>
      </c>
      <c r="AA343">
        <v>16.37</v>
      </c>
      <c r="AC343">
        <v>14.960377777777779</v>
      </c>
    </row>
    <row r="344" spans="1:29" x14ac:dyDescent="0.3">
      <c r="A344" t="s">
        <v>370</v>
      </c>
      <c r="B344" t="s">
        <v>1006</v>
      </c>
      <c r="E344">
        <v>24709.64</v>
      </c>
      <c r="F344" t="s">
        <v>951</v>
      </c>
      <c r="G344" t="s">
        <v>690</v>
      </c>
      <c r="J344">
        <v>0</v>
      </c>
      <c r="M344">
        <v>0</v>
      </c>
      <c r="P344">
        <v>0</v>
      </c>
      <c r="Q344">
        <v>0</v>
      </c>
      <c r="X344">
        <v>48077.97</v>
      </c>
    </row>
    <row r="345" spans="1:29" x14ac:dyDescent="0.3">
      <c r="A345" t="s">
        <v>371</v>
      </c>
      <c r="B345" t="s">
        <v>1007</v>
      </c>
      <c r="C345" t="s">
        <v>1008</v>
      </c>
      <c r="E345">
        <v>81436.7</v>
      </c>
      <c r="F345" t="s">
        <v>720</v>
      </c>
      <c r="G345" t="s">
        <v>690</v>
      </c>
      <c r="I345">
        <v>130000</v>
      </c>
      <c r="J345">
        <v>120000</v>
      </c>
      <c r="K345">
        <v>145000</v>
      </c>
      <c r="L345">
        <v>122000</v>
      </c>
      <c r="M345">
        <v>12000</v>
      </c>
      <c r="N345">
        <v>110000</v>
      </c>
      <c r="O345">
        <v>108500</v>
      </c>
      <c r="P345">
        <v>590.79</v>
      </c>
      <c r="Q345">
        <v>148.51</v>
      </c>
      <c r="R345">
        <v>35</v>
      </c>
      <c r="S345">
        <v>5.125</v>
      </c>
      <c r="X345">
        <v>37863</v>
      </c>
      <c r="AA345">
        <v>8.17</v>
      </c>
      <c r="AC345">
        <v>15.38461538461539</v>
      </c>
    </row>
    <row r="346" spans="1:29" x14ac:dyDescent="0.3">
      <c r="A346" t="s">
        <v>371</v>
      </c>
      <c r="C346" t="s">
        <v>1009</v>
      </c>
      <c r="I346">
        <v>257500</v>
      </c>
      <c r="J346">
        <v>195000</v>
      </c>
      <c r="K346">
        <v>270000</v>
      </c>
      <c r="L346">
        <v>200000</v>
      </c>
      <c r="N346">
        <v>200000</v>
      </c>
      <c r="O346">
        <v>194000</v>
      </c>
      <c r="P346">
        <v>1071.28</v>
      </c>
      <c r="R346">
        <v>35</v>
      </c>
      <c r="S346">
        <v>5.25</v>
      </c>
      <c r="AC346">
        <v>22.33009708737864</v>
      </c>
    </row>
    <row r="347" spans="1:29" x14ac:dyDescent="0.3">
      <c r="A347" t="s">
        <v>372</v>
      </c>
      <c r="B347" t="s">
        <v>1010</v>
      </c>
      <c r="C347" t="s">
        <v>1011</v>
      </c>
      <c r="I347">
        <v>390583</v>
      </c>
      <c r="J347">
        <v>280000</v>
      </c>
      <c r="K347">
        <v>400000</v>
      </c>
      <c r="L347">
        <v>325000</v>
      </c>
      <c r="M347">
        <v>41000</v>
      </c>
      <c r="N347">
        <v>284000</v>
      </c>
      <c r="O347">
        <v>287000</v>
      </c>
      <c r="P347">
        <v>1837.69</v>
      </c>
      <c r="Q347">
        <v>250.48</v>
      </c>
      <c r="R347">
        <v>35</v>
      </c>
      <c r="S347">
        <v>6.625</v>
      </c>
      <c r="X347">
        <v>73018.649999999994</v>
      </c>
      <c r="AA347">
        <v>1.28</v>
      </c>
      <c r="AC347">
        <v>27.28818202533137</v>
      </c>
    </row>
    <row r="348" spans="1:29" x14ac:dyDescent="0.3">
      <c r="A348" t="s">
        <v>374</v>
      </c>
      <c r="B348" t="s">
        <v>1012</v>
      </c>
      <c r="C348" t="s">
        <v>1013</v>
      </c>
      <c r="E348">
        <v>82308.37</v>
      </c>
      <c r="F348" t="s">
        <v>946</v>
      </c>
      <c r="G348" t="s">
        <v>690</v>
      </c>
      <c r="I348">
        <v>163000</v>
      </c>
      <c r="J348">
        <v>163000</v>
      </c>
      <c r="K348">
        <v>198000</v>
      </c>
      <c r="L348">
        <v>151500</v>
      </c>
      <c r="M348">
        <v>20000</v>
      </c>
      <c r="N348">
        <v>131500</v>
      </c>
      <c r="O348">
        <v>132000</v>
      </c>
      <c r="P348">
        <v>749.48</v>
      </c>
      <c r="Q348">
        <v>61.38</v>
      </c>
      <c r="R348">
        <v>35</v>
      </c>
      <c r="S348">
        <v>5.5</v>
      </c>
      <c r="X348">
        <v>34679.1</v>
      </c>
      <c r="AA348">
        <v>11.39</v>
      </c>
      <c r="AC348">
        <v>19.325153374233128</v>
      </c>
    </row>
    <row r="349" spans="1:29" x14ac:dyDescent="0.3">
      <c r="A349" t="s">
        <v>375</v>
      </c>
      <c r="B349" t="s">
        <v>1014</v>
      </c>
      <c r="C349" t="s">
        <v>1015</v>
      </c>
      <c r="I349">
        <v>384367</v>
      </c>
      <c r="J349">
        <v>305000</v>
      </c>
      <c r="K349">
        <v>395000</v>
      </c>
      <c r="L349">
        <v>310000</v>
      </c>
      <c r="M349">
        <v>70500</v>
      </c>
      <c r="N349">
        <v>239500</v>
      </c>
      <c r="O349">
        <v>238447</v>
      </c>
      <c r="P349">
        <v>1456.55</v>
      </c>
      <c r="Q349">
        <v>179.5</v>
      </c>
      <c r="R349">
        <v>35</v>
      </c>
      <c r="S349">
        <v>6.1749999999999998</v>
      </c>
      <c r="X349">
        <v>64378.42</v>
      </c>
      <c r="AA349">
        <v>2.38</v>
      </c>
      <c r="AC349">
        <v>37.689760047038376</v>
      </c>
    </row>
    <row r="350" spans="1:29" x14ac:dyDescent="0.3">
      <c r="A350" t="s">
        <v>376</v>
      </c>
      <c r="B350" t="s">
        <v>1008</v>
      </c>
      <c r="C350" t="s">
        <v>1016</v>
      </c>
      <c r="E350">
        <v>56015.62</v>
      </c>
      <c r="F350" t="s">
        <v>720</v>
      </c>
      <c r="G350" t="s">
        <v>690</v>
      </c>
      <c r="I350">
        <v>107000</v>
      </c>
      <c r="J350">
        <v>93000</v>
      </c>
      <c r="K350">
        <v>118000</v>
      </c>
      <c r="L350">
        <v>90100</v>
      </c>
      <c r="M350">
        <v>9853.7700000000041</v>
      </c>
      <c r="N350">
        <v>80246.23</v>
      </c>
      <c r="O350">
        <v>72000</v>
      </c>
      <c r="P350">
        <v>364.81</v>
      </c>
      <c r="Q350">
        <v>114.03</v>
      </c>
      <c r="R350">
        <v>35</v>
      </c>
      <c r="S350">
        <v>4.5</v>
      </c>
      <c r="X350">
        <v>34988.720000000001</v>
      </c>
      <c r="AA350">
        <v>15.03</v>
      </c>
      <c r="AC350">
        <v>25.003523364485979</v>
      </c>
    </row>
    <row r="351" spans="1:29" x14ac:dyDescent="0.3">
      <c r="A351" t="s">
        <v>377</v>
      </c>
      <c r="B351" t="s">
        <v>1017</v>
      </c>
      <c r="C351" t="s">
        <v>1018</v>
      </c>
      <c r="E351">
        <v>76400.03</v>
      </c>
      <c r="F351" t="s">
        <v>784</v>
      </c>
      <c r="G351" t="s">
        <v>690</v>
      </c>
      <c r="I351">
        <v>109000</v>
      </c>
      <c r="J351">
        <v>98000</v>
      </c>
      <c r="K351">
        <v>123000</v>
      </c>
      <c r="L351">
        <v>88800</v>
      </c>
      <c r="M351">
        <v>17427.740000000009</v>
      </c>
      <c r="N351">
        <v>71372.259999999995</v>
      </c>
      <c r="O351">
        <v>71645</v>
      </c>
      <c r="P351">
        <v>358.21</v>
      </c>
      <c r="Q351">
        <v>121.97</v>
      </c>
      <c r="R351">
        <v>35</v>
      </c>
      <c r="S351">
        <v>4.25</v>
      </c>
      <c r="X351">
        <v>22712</v>
      </c>
      <c r="AA351">
        <v>13.35</v>
      </c>
      <c r="AC351">
        <v>34.520862385321102</v>
      </c>
    </row>
    <row r="352" spans="1:29" x14ac:dyDescent="0.3">
      <c r="A352" t="s">
        <v>378</v>
      </c>
      <c r="B352" t="s">
        <v>1019</v>
      </c>
      <c r="C352" t="s">
        <v>1019</v>
      </c>
      <c r="J352">
        <v>215000</v>
      </c>
      <c r="K352">
        <v>215000</v>
      </c>
      <c r="L352">
        <v>155000</v>
      </c>
      <c r="M352">
        <v>46159.89</v>
      </c>
      <c r="N352">
        <v>108840.11</v>
      </c>
      <c r="P352">
        <v>694</v>
      </c>
      <c r="Q352">
        <v>112.65</v>
      </c>
      <c r="R352">
        <v>35</v>
      </c>
      <c r="X352">
        <v>31435.119999999999</v>
      </c>
      <c r="AA352">
        <v>5.47</v>
      </c>
    </row>
    <row r="353" spans="1:29" x14ac:dyDescent="0.3">
      <c r="A353" t="s">
        <v>379</v>
      </c>
      <c r="B353" t="s">
        <v>1020</v>
      </c>
      <c r="C353" t="s">
        <v>1021</v>
      </c>
      <c r="I353">
        <v>164000</v>
      </c>
      <c r="J353">
        <v>130000</v>
      </c>
      <c r="K353">
        <v>175000</v>
      </c>
      <c r="L353">
        <v>139540</v>
      </c>
      <c r="M353">
        <v>43476.539999999994</v>
      </c>
      <c r="N353">
        <v>96063.46</v>
      </c>
      <c r="O353">
        <v>95000</v>
      </c>
      <c r="P353">
        <v>495.57</v>
      </c>
      <c r="Q353">
        <v>156.01</v>
      </c>
      <c r="R353">
        <v>35</v>
      </c>
      <c r="S353">
        <v>4.75</v>
      </c>
      <c r="X353">
        <v>28103.08</v>
      </c>
      <c r="AA353">
        <v>4.08</v>
      </c>
      <c r="AC353">
        <v>41.424719512195118</v>
      </c>
    </row>
    <row r="354" spans="1:29" x14ac:dyDescent="0.3">
      <c r="A354" t="s">
        <v>379</v>
      </c>
      <c r="C354" t="s">
        <v>687</v>
      </c>
      <c r="I354">
        <v>213000</v>
      </c>
      <c r="J354">
        <v>168000</v>
      </c>
      <c r="K354">
        <v>228000</v>
      </c>
      <c r="L354">
        <v>190000</v>
      </c>
      <c r="N354">
        <v>145000</v>
      </c>
      <c r="O354">
        <v>145200</v>
      </c>
      <c r="P354">
        <v>770</v>
      </c>
      <c r="R354">
        <v>35</v>
      </c>
      <c r="S354">
        <v>4.875</v>
      </c>
      <c r="AC354">
        <v>31.92488262910798</v>
      </c>
    </row>
    <row r="355" spans="1:29" x14ac:dyDescent="0.3">
      <c r="A355" t="s">
        <v>379</v>
      </c>
      <c r="C355" t="s">
        <v>1022</v>
      </c>
      <c r="I355">
        <v>421500</v>
      </c>
      <c r="J355">
        <v>210500</v>
      </c>
      <c r="K355">
        <v>430000</v>
      </c>
      <c r="L355">
        <v>305000</v>
      </c>
      <c r="N355">
        <v>270000</v>
      </c>
      <c r="O355">
        <v>267700</v>
      </c>
      <c r="P355">
        <v>1498.21</v>
      </c>
      <c r="R355">
        <v>35</v>
      </c>
      <c r="S355">
        <v>5.37</v>
      </c>
      <c r="AC355">
        <v>35.943060498220639</v>
      </c>
    </row>
    <row r="356" spans="1:29" x14ac:dyDescent="0.3">
      <c r="A356" t="s">
        <v>380</v>
      </c>
      <c r="B356" t="s">
        <v>1023</v>
      </c>
      <c r="C356" t="s">
        <v>1024</v>
      </c>
      <c r="E356">
        <v>62745.99</v>
      </c>
      <c r="F356" t="s">
        <v>715</v>
      </c>
      <c r="G356" t="s">
        <v>690</v>
      </c>
      <c r="I356">
        <v>145000</v>
      </c>
      <c r="J356">
        <v>110000</v>
      </c>
      <c r="K356">
        <v>155000</v>
      </c>
      <c r="L356">
        <v>118248</v>
      </c>
      <c r="M356">
        <v>45000</v>
      </c>
      <c r="N356">
        <v>73248</v>
      </c>
      <c r="O356">
        <v>71748</v>
      </c>
      <c r="P356">
        <v>358.22</v>
      </c>
      <c r="Q356">
        <v>145.41</v>
      </c>
      <c r="R356">
        <v>35</v>
      </c>
      <c r="S356">
        <v>4.375</v>
      </c>
      <c r="X356">
        <v>25502.080000000002</v>
      </c>
      <c r="AA356">
        <v>14.83</v>
      </c>
      <c r="AC356">
        <v>49.484137931034468</v>
      </c>
    </row>
    <row r="357" spans="1:29" x14ac:dyDescent="0.3">
      <c r="A357" t="s">
        <v>382</v>
      </c>
      <c r="B357" t="s">
        <v>1025</v>
      </c>
      <c r="C357" t="s">
        <v>1025</v>
      </c>
      <c r="I357">
        <v>348900</v>
      </c>
      <c r="J357">
        <v>348900</v>
      </c>
      <c r="K357">
        <v>360000</v>
      </c>
      <c r="L357">
        <v>315000</v>
      </c>
      <c r="M357">
        <v>35000</v>
      </c>
      <c r="N357">
        <v>280000</v>
      </c>
      <c r="O357">
        <v>280000</v>
      </c>
      <c r="P357">
        <v>1460.61</v>
      </c>
      <c r="Q357">
        <v>197.71</v>
      </c>
      <c r="R357">
        <v>35</v>
      </c>
      <c r="S357">
        <v>4.75</v>
      </c>
      <c r="X357">
        <v>67000</v>
      </c>
      <c r="AA357">
        <v>2.7</v>
      </c>
      <c r="AC357">
        <v>19.747778733161368</v>
      </c>
    </row>
    <row r="358" spans="1:29" x14ac:dyDescent="0.3">
      <c r="A358" t="s">
        <v>383</v>
      </c>
      <c r="B358" t="s">
        <v>1026</v>
      </c>
      <c r="C358" t="s">
        <v>1027</v>
      </c>
      <c r="I358">
        <v>340000</v>
      </c>
      <c r="J358">
        <v>250000</v>
      </c>
      <c r="K358">
        <v>350000</v>
      </c>
      <c r="L358">
        <v>300000</v>
      </c>
      <c r="M358">
        <v>104000</v>
      </c>
      <c r="N358">
        <v>196000</v>
      </c>
      <c r="O358">
        <v>194750</v>
      </c>
      <c r="P358">
        <v>1121.0899999999999</v>
      </c>
      <c r="Q358">
        <v>206.32</v>
      </c>
      <c r="R358">
        <v>35</v>
      </c>
      <c r="S358">
        <v>5.625</v>
      </c>
      <c r="X358">
        <v>61634.23</v>
      </c>
      <c r="AA358">
        <v>1.75</v>
      </c>
      <c r="AC358">
        <v>42.352941176470587</v>
      </c>
    </row>
    <row r="359" spans="1:29" x14ac:dyDescent="0.3">
      <c r="A359" t="s">
        <v>384</v>
      </c>
      <c r="B359" t="s">
        <v>1028</v>
      </c>
      <c r="C359" t="s">
        <v>1029</v>
      </c>
      <c r="E359">
        <v>25933</v>
      </c>
      <c r="F359" t="s">
        <v>700</v>
      </c>
      <c r="G359" t="s">
        <v>690</v>
      </c>
      <c r="I359">
        <v>200000</v>
      </c>
      <c r="J359">
        <v>135000</v>
      </c>
      <c r="K359">
        <v>210000</v>
      </c>
      <c r="L359">
        <v>144500</v>
      </c>
      <c r="M359">
        <v>39586.639999999999</v>
      </c>
      <c r="N359">
        <v>104913.36</v>
      </c>
      <c r="O359">
        <v>102750</v>
      </c>
      <c r="P359">
        <v>789</v>
      </c>
      <c r="Q359">
        <v>123.46</v>
      </c>
      <c r="R359">
        <v>35</v>
      </c>
      <c r="S359">
        <v>5.875</v>
      </c>
      <c r="X359">
        <v>27343</v>
      </c>
      <c r="AA359">
        <v>19.989999999999998</v>
      </c>
      <c r="AC359">
        <v>47.543320000000001</v>
      </c>
    </row>
    <row r="360" spans="1:29" x14ac:dyDescent="0.3">
      <c r="A360" t="s">
        <v>385</v>
      </c>
      <c r="B360" t="s">
        <v>1030</v>
      </c>
      <c r="C360" t="s">
        <v>1031</v>
      </c>
      <c r="I360">
        <v>126200</v>
      </c>
      <c r="J360">
        <v>139000</v>
      </c>
      <c r="K360">
        <v>139000</v>
      </c>
      <c r="L360">
        <v>126000</v>
      </c>
      <c r="M360">
        <v>9000</v>
      </c>
      <c r="N360">
        <v>117000</v>
      </c>
      <c r="O360">
        <v>118500</v>
      </c>
      <c r="P360">
        <v>609.26</v>
      </c>
      <c r="Q360">
        <v>132.22</v>
      </c>
      <c r="R360">
        <v>35</v>
      </c>
      <c r="S360">
        <v>4.625</v>
      </c>
      <c r="X360">
        <v>38302.639999999999</v>
      </c>
      <c r="AA360">
        <v>7.02</v>
      </c>
      <c r="AC360">
        <v>7.290015847860543</v>
      </c>
    </row>
    <row r="361" spans="1:29" x14ac:dyDescent="0.3">
      <c r="A361" t="s">
        <v>385</v>
      </c>
      <c r="C361" t="s">
        <v>1032</v>
      </c>
      <c r="I361">
        <v>239500</v>
      </c>
      <c r="J361">
        <v>199000</v>
      </c>
      <c r="K361">
        <v>254000</v>
      </c>
      <c r="L361">
        <v>205000</v>
      </c>
      <c r="N361">
        <v>190000</v>
      </c>
      <c r="O361">
        <v>191600</v>
      </c>
      <c r="P361">
        <v>1102.96</v>
      </c>
      <c r="R361">
        <v>35</v>
      </c>
      <c r="S361">
        <v>5.625</v>
      </c>
      <c r="AC361">
        <v>20.668058455114821</v>
      </c>
    </row>
    <row r="362" spans="1:29" x14ac:dyDescent="0.3">
      <c r="A362" t="s">
        <v>386</v>
      </c>
      <c r="B362" t="s">
        <v>1033</v>
      </c>
      <c r="C362" t="s">
        <v>1034</v>
      </c>
      <c r="E362">
        <v>27383.71</v>
      </c>
      <c r="F362" t="s">
        <v>1035</v>
      </c>
      <c r="G362" t="s">
        <v>690</v>
      </c>
      <c r="I362">
        <v>179000</v>
      </c>
      <c r="J362">
        <v>145000</v>
      </c>
      <c r="K362">
        <v>195000</v>
      </c>
      <c r="L362">
        <v>168000</v>
      </c>
      <c r="M362">
        <v>44647.83</v>
      </c>
      <c r="N362">
        <v>123352.17</v>
      </c>
      <c r="O362">
        <v>122900</v>
      </c>
      <c r="P362">
        <v>613.62</v>
      </c>
      <c r="Q362">
        <v>143.94</v>
      </c>
      <c r="R362">
        <v>35</v>
      </c>
      <c r="S362">
        <v>4.375</v>
      </c>
      <c r="U362">
        <v>51410.18</v>
      </c>
      <c r="V362" t="s">
        <v>690</v>
      </c>
      <c r="W362" t="s">
        <v>863</v>
      </c>
      <c r="X362">
        <v>38127.769999999997</v>
      </c>
      <c r="AA362">
        <v>9.5</v>
      </c>
      <c r="AC362">
        <v>31.088173184357551</v>
      </c>
    </row>
    <row r="363" spans="1:29" x14ac:dyDescent="0.3">
      <c r="A363" t="s">
        <v>387</v>
      </c>
      <c r="B363" t="s">
        <v>1036</v>
      </c>
      <c r="C363" t="s">
        <v>1037</v>
      </c>
      <c r="E363">
        <v>87112.46</v>
      </c>
      <c r="F363" t="s">
        <v>720</v>
      </c>
      <c r="G363" t="s">
        <v>690</v>
      </c>
      <c r="I363">
        <v>90000</v>
      </c>
      <c r="J363">
        <v>88000</v>
      </c>
      <c r="K363">
        <v>103000</v>
      </c>
      <c r="L363">
        <v>83000</v>
      </c>
      <c r="M363">
        <v>10553.02</v>
      </c>
      <c r="N363">
        <v>72446.98</v>
      </c>
      <c r="O363">
        <v>76000</v>
      </c>
      <c r="P363">
        <v>413.81</v>
      </c>
      <c r="Q363">
        <v>114.33</v>
      </c>
      <c r="R363">
        <v>35</v>
      </c>
      <c r="S363">
        <v>5.125</v>
      </c>
      <c r="X363">
        <v>27453</v>
      </c>
      <c r="AA363">
        <v>8.83</v>
      </c>
      <c r="AC363">
        <v>19.503355555555562</v>
      </c>
    </row>
    <row r="364" spans="1:29" x14ac:dyDescent="0.3">
      <c r="A364" t="s">
        <v>387</v>
      </c>
      <c r="C364" t="s">
        <v>1038</v>
      </c>
      <c r="I364">
        <v>259000</v>
      </c>
      <c r="J364">
        <v>190000</v>
      </c>
      <c r="K364">
        <v>284000</v>
      </c>
      <c r="L364">
        <v>194000</v>
      </c>
      <c r="N364">
        <v>196000</v>
      </c>
      <c r="O364">
        <v>194000</v>
      </c>
      <c r="P364">
        <v>804.89</v>
      </c>
      <c r="R364">
        <v>35</v>
      </c>
      <c r="S364">
        <v>2.875</v>
      </c>
      <c r="AC364">
        <v>24.324324324324319</v>
      </c>
    </row>
    <row r="365" spans="1:29" x14ac:dyDescent="0.3">
      <c r="A365" t="s">
        <v>388</v>
      </c>
      <c r="B365" t="s">
        <v>1039</v>
      </c>
      <c r="C365" t="s">
        <v>1039</v>
      </c>
      <c r="E365">
        <v>52000</v>
      </c>
      <c r="F365" t="s">
        <v>922</v>
      </c>
      <c r="G365" t="s">
        <v>690</v>
      </c>
      <c r="I365">
        <v>230000</v>
      </c>
      <c r="J365">
        <v>175000</v>
      </c>
      <c r="K365">
        <v>240000</v>
      </c>
      <c r="L365">
        <v>156000</v>
      </c>
      <c r="M365">
        <v>24423.53</v>
      </c>
      <c r="N365">
        <v>131576.47</v>
      </c>
      <c r="O365">
        <v>131200</v>
      </c>
      <c r="P365">
        <v>807.82</v>
      </c>
      <c r="Q365">
        <v>137.72</v>
      </c>
      <c r="R365">
        <v>35</v>
      </c>
      <c r="S365">
        <v>6.375</v>
      </c>
      <c r="U365">
        <v>32000</v>
      </c>
      <c r="V365" t="s">
        <v>690</v>
      </c>
      <c r="W365" t="s">
        <v>706</v>
      </c>
      <c r="X365">
        <v>47344</v>
      </c>
      <c r="AA365">
        <v>14.08</v>
      </c>
      <c r="AC365">
        <v>42.792839130434778</v>
      </c>
    </row>
    <row r="366" spans="1:29" x14ac:dyDescent="0.3">
      <c r="A366" t="s">
        <v>388</v>
      </c>
      <c r="C366" t="s">
        <v>1040</v>
      </c>
      <c r="I366">
        <v>404000</v>
      </c>
      <c r="J366">
        <v>424000</v>
      </c>
      <c r="K366">
        <v>424000</v>
      </c>
      <c r="L366">
        <v>285000</v>
      </c>
      <c r="N366">
        <v>285000</v>
      </c>
      <c r="O366">
        <v>285000</v>
      </c>
      <c r="P366">
        <v>1126.0899999999999</v>
      </c>
      <c r="R366">
        <v>35</v>
      </c>
      <c r="S366">
        <v>2.5</v>
      </c>
      <c r="AC366">
        <v>29.455445544554461</v>
      </c>
    </row>
    <row r="367" spans="1:29" x14ac:dyDescent="0.3">
      <c r="A367" t="s">
        <v>389</v>
      </c>
      <c r="B367" t="s">
        <v>1041</v>
      </c>
      <c r="C367" t="s">
        <v>1042</v>
      </c>
      <c r="I367">
        <v>154000</v>
      </c>
      <c r="J367">
        <v>121000</v>
      </c>
      <c r="K367">
        <v>166000</v>
      </c>
      <c r="L367">
        <v>123800</v>
      </c>
      <c r="M367">
        <v>46156.639999999999</v>
      </c>
      <c r="N367">
        <v>77643.360000000001</v>
      </c>
      <c r="O367">
        <v>75799</v>
      </c>
      <c r="P367">
        <v>384.06</v>
      </c>
      <c r="Q367">
        <v>149.97999999999999</v>
      </c>
      <c r="R367">
        <v>35</v>
      </c>
      <c r="S367">
        <v>4.5</v>
      </c>
      <c r="X367">
        <v>29040.34</v>
      </c>
      <c r="AA367">
        <v>12.25</v>
      </c>
      <c r="AC367">
        <v>49.582233766233763</v>
      </c>
    </row>
    <row r="368" spans="1:29" x14ac:dyDescent="0.3">
      <c r="A368" t="s">
        <v>390</v>
      </c>
      <c r="B368" t="s">
        <v>1043</v>
      </c>
      <c r="C368" t="s">
        <v>1044</v>
      </c>
      <c r="E368">
        <v>116974.17</v>
      </c>
      <c r="F368" t="s">
        <v>910</v>
      </c>
      <c r="G368" t="s">
        <v>690</v>
      </c>
      <c r="I368">
        <v>207000</v>
      </c>
      <c r="J368">
        <v>222000</v>
      </c>
      <c r="K368">
        <v>222000</v>
      </c>
      <c r="L368">
        <v>151000</v>
      </c>
      <c r="M368">
        <v>15000</v>
      </c>
      <c r="N368">
        <v>136000</v>
      </c>
      <c r="O368">
        <v>133900</v>
      </c>
      <c r="P368">
        <v>620.11</v>
      </c>
      <c r="Q368">
        <v>127.87</v>
      </c>
      <c r="R368">
        <v>35</v>
      </c>
      <c r="S368">
        <v>3.75</v>
      </c>
      <c r="X368">
        <v>30682.080000000002</v>
      </c>
      <c r="AA368">
        <v>8.0299999999999994</v>
      </c>
      <c r="AC368">
        <v>34.29951690821256</v>
      </c>
    </row>
    <row r="369" spans="1:29" x14ac:dyDescent="0.3">
      <c r="A369" t="s">
        <v>391</v>
      </c>
      <c r="B369" t="s">
        <v>1045</v>
      </c>
      <c r="C369" t="s">
        <v>1046</v>
      </c>
      <c r="E369">
        <v>98050.92</v>
      </c>
      <c r="F369" t="s">
        <v>784</v>
      </c>
      <c r="G369" t="s">
        <v>690</v>
      </c>
      <c r="I369">
        <v>103000</v>
      </c>
      <c r="J369">
        <v>106000</v>
      </c>
      <c r="K369">
        <v>116000</v>
      </c>
      <c r="L369">
        <v>102800</v>
      </c>
      <c r="M369">
        <v>16629.34</v>
      </c>
      <c r="N369">
        <v>86170.66</v>
      </c>
      <c r="O369">
        <v>87300</v>
      </c>
      <c r="P369">
        <v>429.46</v>
      </c>
      <c r="Q369">
        <v>114.95</v>
      </c>
      <c r="R369">
        <v>35</v>
      </c>
      <c r="S369">
        <v>4.25</v>
      </c>
      <c r="X369">
        <v>26680.1</v>
      </c>
      <c r="AA369">
        <v>13.7</v>
      </c>
      <c r="AC369">
        <v>16.339165048543691</v>
      </c>
    </row>
    <row r="370" spans="1:29" x14ac:dyDescent="0.3">
      <c r="A370" t="s">
        <v>392</v>
      </c>
      <c r="B370" t="s">
        <v>1047</v>
      </c>
      <c r="C370" t="s">
        <v>1048</v>
      </c>
      <c r="E370">
        <v>85420.6</v>
      </c>
      <c r="F370" t="s">
        <v>784</v>
      </c>
      <c r="G370" t="s">
        <v>690</v>
      </c>
      <c r="I370">
        <v>123650</v>
      </c>
      <c r="J370">
        <v>110000</v>
      </c>
      <c r="K370">
        <v>135000</v>
      </c>
      <c r="L370">
        <v>120000</v>
      </c>
      <c r="M370">
        <v>19624.899999999991</v>
      </c>
      <c r="N370">
        <v>100375.1</v>
      </c>
      <c r="O370">
        <v>85000</v>
      </c>
      <c r="P370">
        <v>430.69</v>
      </c>
      <c r="Q370">
        <v>64.960000000000008</v>
      </c>
      <c r="R370">
        <v>35</v>
      </c>
      <c r="S370">
        <v>4.5</v>
      </c>
      <c r="X370">
        <v>34103.19</v>
      </c>
      <c r="AA370">
        <v>11.55</v>
      </c>
      <c r="AC370">
        <v>18.823210675293151</v>
      </c>
    </row>
    <row r="371" spans="1:29" x14ac:dyDescent="0.3">
      <c r="A371" t="s">
        <v>393</v>
      </c>
      <c r="B371" t="s">
        <v>1049</v>
      </c>
      <c r="C371" t="s">
        <v>1050</v>
      </c>
      <c r="E371">
        <v>52491.54</v>
      </c>
      <c r="F371" t="s">
        <v>906</v>
      </c>
      <c r="G371" t="s">
        <v>690</v>
      </c>
      <c r="I371">
        <v>148000</v>
      </c>
      <c r="J371">
        <v>112000</v>
      </c>
      <c r="K371">
        <v>162000</v>
      </c>
      <c r="L371">
        <v>113500</v>
      </c>
      <c r="M371">
        <v>15507</v>
      </c>
      <c r="N371">
        <v>97993</v>
      </c>
      <c r="O371">
        <v>89438</v>
      </c>
      <c r="P371">
        <v>439.98</v>
      </c>
      <c r="Q371">
        <v>110.49</v>
      </c>
      <c r="R371">
        <v>35</v>
      </c>
      <c r="S371">
        <v>4.25</v>
      </c>
      <c r="U371">
        <v>17653.900000000001</v>
      </c>
      <c r="V371" t="s">
        <v>690</v>
      </c>
      <c r="W371" t="s">
        <v>1051</v>
      </c>
      <c r="X371">
        <v>26124</v>
      </c>
      <c r="AA371">
        <v>12.84</v>
      </c>
      <c r="AC371">
        <v>33.788513513513522</v>
      </c>
    </row>
    <row r="372" spans="1:29" x14ac:dyDescent="0.3">
      <c r="A372" t="s">
        <v>394</v>
      </c>
      <c r="B372" t="s">
        <v>1052</v>
      </c>
      <c r="C372" t="s">
        <v>1053</v>
      </c>
      <c r="E372">
        <v>63856.02</v>
      </c>
      <c r="F372" t="s">
        <v>946</v>
      </c>
      <c r="G372" t="s">
        <v>690</v>
      </c>
      <c r="I372">
        <v>133500</v>
      </c>
      <c r="J372">
        <v>105000</v>
      </c>
      <c r="K372">
        <v>145000</v>
      </c>
      <c r="L372">
        <v>115000</v>
      </c>
      <c r="M372">
        <v>14899.86</v>
      </c>
      <c r="N372">
        <v>100100.14</v>
      </c>
      <c r="P372">
        <v>579.80999999999995</v>
      </c>
      <c r="Q372">
        <v>105.84</v>
      </c>
      <c r="R372">
        <v>35</v>
      </c>
      <c r="X372">
        <v>36572.74</v>
      </c>
      <c r="AA372">
        <v>3.88</v>
      </c>
      <c r="AC372">
        <v>25.018621722846451</v>
      </c>
    </row>
    <row r="373" spans="1:29" x14ac:dyDescent="0.3">
      <c r="A373" t="s">
        <v>394</v>
      </c>
      <c r="C373" t="s">
        <v>954</v>
      </c>
      <c r="I373">
        <v>177000</v>
      </c>
      <c r="J373">
        <v>147000</v>
      </c>
      <c r="K373">
        <v>217000</v>
      </c>
      <c r="L373">
        <v>175000</v>
      </c>
      <c r="N373">
        <v>160000</v>
      </c>
      <c r="O373">
        <v>160500</v>
      </c>
      <c r="P373">
        <v>784.87</v>
      </c>
      <c r="R373">
        <v>35</v>
      </c>
      <c r="S373">
        <v>4.2</v>
      </c>
      <c r="AC373">
        <v>9.6045197740112993</v>
      </c>
    </row>
    <row r="374" spans="1:29" x14ac:dyDescent="0.3">
      <c r="A374" t="s">
        <v>395</v>
      </c>
      <c r="B374" t="s">
        <v>1054</v>
      </c>
      <c r="C374" t="s">
        <v>1055</v>
      </c>
      <c r="E374">
        <v>86165.83</v>
      </c>
      <c r="F374" t="s">
        <v>720</v>
      </c>
      <c r="G374" t="s">
        <v>690</v>
      </c>
      <c r="I374">
        <v>167500</v>
      </c>
      <c r="J374">
        <v>137000</v>
      </c>
      <c r="K374">
        <v>182000</v>
      </c>
      <c r="L374">
        <v>145000</v>
      </c>
      <c r="M374">
        <v>2167.3800000000051</v>
      </c>
      <c r="N374">
        <v>142832.62</v>
      </c>
      <c r="O374">
        <v>140650</v>
      </c>
      <c r="P374">
        <v>671.48</v>
      </c>
      <c r="Q374">
        <v>152.5</v>
      </c>
      <c r="R374">
        <v>35</v>
      </c>
      <c r="S374">
        <v>4</v>
      </c>
      <c r="X374">
        <v>36004.370000000003</v>
      </c>
      <c r="AA374">
        <v>12.52</v>
      </c>
      <c r="AC374">
        <v>14.726794029850749</v>
      </c>
    </row>
    <row r="375" spans="1:29" x14ac:dyDescent="0.3">
      <c r="A375" t="s">
        <v>396</v>
      </c>
      <c r="B375" t="s">
        <v>1056</v>
      </c>
      <c r="C375" t="s">
        <v>807</v>
      </c>
      <c r="E375">
        <v>101767.5</v>
      </c>
      <c r="F375" t="s">
        <v>715</v>
      </c>
      <c r="G375" t="s">
        <v>690</v>
      </c>
      <c r="I375">
        <v>138000</v>
      </c>
      <c r="J375">
        <v>110000</v>
      </c>
      <c r="K375">
        <v>150000</v>
      </c>
      <c r="L375">
        <v>107264</v>
      </c>
      <c r="M375">
        <v>35629.460000000006</v>
      </c>
      <c r="N375">
        <v>71634.539999999994</v>
      </c>
      <c r="O375">
        <v>72264</v>
      </c>
      <c r="P375">
        <v>344.99</v>
      </c>
      <c r="Q375">
        <v>138.63999999999999</v>
      </c>
      <c r="R375">
        <v>35</v>
      </c>
      <c r="S375">
        <v>4</v>
      </c>
      <c r="X375">
        <v>19820.47</v>
      </c>
      <c r="AA375">
        <v>15.02</v>
      </c>
      <c r="AC375">
        <v>48.090913043478267</v>
      </c>
    </row>
    <row r="376" spans="1:29" x14ac:dyDescent="0.3">
      <c r="A376" t="s">
        <v>397</v>
      </c>
      <c r="B376" t="s">
        <v>1057</v>
      </c>
      <c r="C376" t="s">
        <v>1058</v>
      </c>
      <c r="E376">
        <v>57194.37</v>
      </c>
      <c r="F376" t="s">
        <v>922</v>
      </c>
      <c r="G376" t="s">
        <v>690</v>
      </c>
      <c r="I376">
        <v>188000</v>
      </c>
      <c r="J376">
        <v>144750</v>
      </c>
      <c r="K376">
        <v>198000</v>
      </c>
      <c r="L376">
        <v>146000</v>
      </c>
      <c r="M376">
        <v>46728.81</v>
      </c>
      <c r="N376">
        <v>99271.19</v>
      </c>
      <c r="O376">
        <v>100000</v>
      </c>
      <c r="P376">
        <v>623.87</v>
      </c>
      <c r="Q376">
        <v>152.05000000000001</v>
      </c>
      <c r="R376">
        <v>35</v>
      </c>
      <c r="S376">
        <v>5.875</v>
      </c>
      <c r="U376">
        <v>35000</v>
      </c>
      <c r="V376" t="s">
        <v>690</v>
      </c>
      <c r="W376" t="s">
        <v>716</v>
      </c>
      <c r="X376">
        <v>37271.699999999997</v>
      </c>
      <c r="AA376">
        <v>16.89</v>
      </c>
      <c r="AC376">
        <v>47.196175531914903</v>
      </c>
    </row>
    <row r="377" spans="1:29" x14ac:dyDescent="0.3">
      <c r="A377" t="s">
        <v>398</v>
      </c>
      <c r="B377" t="s">
        <v>1059</v>
      </c>
      <c r="C377" t="s">
        <v>1060</v>
      </c>
      <c r="E377">
        <v>118541.85</v>
      </c>
      <c r="F377" t="s">
        <v>1051</v>
      </c>
      <c r="G377" t="s">
        <v>690</v>
      </c>
      <c r="I377">
        <v>200000</v>
      </c>
      <c r="J377">
        <v>151000</v>
      </c>
      <c r="K377">
        <v>216000</v>
      </c>
      <c r="L377">
        <v>155000</v>
      </c>
      <c r="M377">
        <v>19746.549999999988</v>
      </c>
      <c r="N377">
        <v>135253.45000000001</v>
      </c>
      <c r="O377">
        <v>134580</v>
      </c>
      <c r="P377">
        <v>642.51</v>
      </c>
      <c r="Q377">
        <v>127.48</v>
      </c>
      <c r="R377">
        <v>35</v>
      </c>
      <c r="S377">
        <v>4</v>
      </c>
      <c r="X377">
        <v>33254.58</v>
      </c>
      <c r="AA377">
        <v>10.62</v>
      </c>
      <c r="AC377">
        <v>32.373274999999992</v>
      </c>
    </row>
    <row r="378" spans="1:29" x14ac:dyDescent="0.3">
      <c r="A378" t="s">
        <v>399</v>
      </c>
      <c r="B378" t="s">
        <v>1061</v>
      </c>
      <c r="C378" t="s">
        <v>1062</v>
      </c>
      <c r="E378">
        <v>114062.32</v>
      </c>
      <c r="F378" t="s">
        <v>946</v>
      </c>
      <c r="G378" t="s">
        <v>690</v>
      </c>
      <c r="I378">
        <v>176861</v>
      </c>
      <c r="J378">
        <v>144000</v>
      </c>
      <c r="K378">
        <v>189000</v>
      </c>
      <c r="L378">
        <v>176500</v>
      </c>
      <c r="M378">
        <v>26157.14000000001</v>
      </c>
      <c r="N378">
        <v>150342.85999999999</v>
      </c>
      <c r="O378">
        <v>140600</v>
      </c>
      <c r="P378">
        <v>712.4</v>
      </c>
      <c r="Q378">
        <v>128.44</v>
      </c>
      <c r="R378">
        <v>35</v>
      </c>
      <c r="S378">
        <v>4.5</v>
      </c>
      <c r="X378">
        <v>42682.27</v>
      </c>
      <c r="AA378">
        <v>11.53</v>
      </c>
      <c r="AC378">
        <v>14.993774772278799</v>
      </c>
    </row>
    <row r="379" spans="1:29" x14ac:dyDescent="0.3">
      <c r="A379" t="s">
        <v>400</v>
      </c>
      <c r="B379" t="s">
        <v>1063</v>
      </c>
      <c r="C379" t="s">
        <v>1064</v>
      </c>
      <c r="E379">
        <v>86518.48</v>
      </c>
      <c r="F379" t="s">
        <v>946</v>
      </c>
      <c r="G379" t="s">
        <v>690</v>
      </c>
      <c r="I379">
        <v>143000</v>
      </c>
      <c r="J379">
        <v>120000</v>
      </c>
      <c r="K379">
        <v>155000</v>
      </c>
      <c r="L379">
        <v>142500</v>
      </c>
      <c r="M379">
        <v>1488.6900000000021</v>
      </c>
      <c r="N379">
        <v>141011.31</v>
      </c>
      <c r="O379">
        <v>121125</v>
      </c>
      <c r="P379">
        <v>578.27</v>
      </c>
      <c r="Q379">
        <v>117.95</v>
      </c>
      <c r="R379">
        <v>35</v>
      </c>
      <c r="S379">
        <v>4</v>
      </c>
      <c r="X379">
        <v>39331.94</v>
      </c>
      <c r="AA379">
        <v>12.55</v>
      </c>
      <c r="AC379">
        <v>1.390692307692309</v>
      </c>
    </row>
    <row r="380" spans="1:29" x14ac:dyDescent="0.3">
      <c r="A380" t="s">
        <v>401</v>
      </c>
      <c r="B380" t="s">
        <v>1065</v>
      </c>
      <c r="C380" t="s">
        <v>1065</v>
      </c>
      <c r="E380">
        <v>60000</v>
      </c>
      <c r="F380" t="s">
        <v>809</v>
      </c>
      <c r="G380" t="s">
        <v>690</v>
      </c>
      <c r="J380">
        <v>142000</v>
      </c>
      <c r="K380">
        <v>192000</v>
      </c>
      <c r="L380">
        <v>132000</v>
      </c>
      <c r="M380">
        <v>45979.399999999987</v>
      </c>
      <c r="N380">
        <v>86020.6</v>
      </c>
      <c r="O380">
        <v>88364</v>
      </c>
      <c r="P380">
        <v>508.67</v>
      </c>
      <c r="Q380">
        <v>67.09</v>
      </c>
      <c r="R380">
        <v>35</v>
      </c>
      <c r="S380">
        <v>5.625</v>
      </c>
      <c r="X380">
        <v>32877</v>
      </c>
      <c r="AA380">
        <v>18.59</v>
      </c>
    </row>
    <row r="381" spans="1:29" x14ac:dyDescent="0.3">
      <c r="A381" t="s">
        <v>402</v>
      </c>
      <c r="C381" t="s">
        <v>796</v>
      </c>
      <c r="I381">
        <v>380000</v>
      </c>
      <c r="J381">
        <v>240000</v>
      </c>
      <c r="K381">
        <v>390000</v>
      </c>
      <c r="L381">
        <v>300000</v>
      </c>
      <c r="M381">
        <v>35000</v>
      </c>
      <c r="N381">
        <v>265000</v>
      </c>
      <c r="O381">
        <v>262600</v>
      </c>
      <c r="P381">
        <v>1450.09</v>
      </c>
      <c r="Q381">
        <v>122.67</v>
      </c>
      <c r="R381">
        <v>35</v>
      </c>
      <c r="S381">
        <v>5.25</v>
      </c>
      <c r="X381">
        <v>66415.929999999993</v>
      </c>
      <c r="AA381">
        <v>2.16</v>
      </c>
      <c r="AC381">
        <v>30.26315789473685</v>
      </c>
    </row>
    <row r="382" spans="1:29" x14ac:dyDescent="0.3">
      <c r="A382" t="s">
        <v>403</v>
      </c>
      <c r="B382" t="s">
        <v>1066</v>
      </c>
      <c r="C382" t="s">
        <v>1067</v>
      </c>
      <c r="I382">
        <v>372000</v>
      </c>
      <c r="J382">
        <v>210000</v>
      </c>
      <c r="K382">
        <v>385000</v>
      </c>
      <c r="L382">
        <v>310000</v>
      </c>
      <c r="M382">
        <v>42000</v>
      </c>
      <c r="N382">
        <v>268000</v>
      </c>
      <c r="O382">
        <v>264000</v>
      </c>
      <c r="P382">
        <v>1113.03</v>
      </c>
      <c r="Q382">
        <v>105.82</v>
      </c>
      <c r="R382">
        <v>35</v>
      </c>
      <c r="S382">
        <v>3</v>
      </c>
      <c r="X382">
        <v>45742.46</v>
      </c>
      <c r="AA382">
        <v>3.29</v>
      </c>
      <c r="AC382">
        <v>27.956989247311821</v>
      </c>
    </row>
    <row r="383" spans="1:29" x14ac:dyDescent="0.3">
      <c r="A383" t="s">
        <v>404</v>
      </c>
      <c r="B383" t="s">
        <v>1068</v>
      </c>
      <c r="C383" t="s">
        <v>1069</v>
      </c>
      <c r="E383">
        <v>7697.95</v>
      </c>
      <c r="F383" t="s">
        <v>997</v>
      </c>
      <c r="G383" t="s">
        <v>690</v>
      </c>
      <c r="I383">
        <v>122200</v>
      </c>
      <c r="J383">
        <v>97000</v>
      </c>
      <c r="K383">
        <v>139000</v>
      </c>
      <c r="L383">
        <v>122000</v>
      </c>
      <c r="M383">
        <v>15000</v>
      </c>
      <c r="N383">
        <v>107000</v>
      </c>
      <c r="O383">
        <v>107000</v>
      </c>
      <c r="P383">
        <v>503.15</v>
      </c>
      <c r="Q383">
        <v>81.97</v>
      </c>
      <c r="R383">
        <v>35</v>
      </c>
      <c r="S383">
        <v>3.875</v>
      </c>
      <c r="U383">
        <v>82108.429999999993</v>
      </c>
      <c r="V383" t="s">
        <v>690</v>
      </c>
      <c r="W383" t="s">
        <v>1070</v>
      </c>
      <c r="X383">
        <v>28939.86</v>
      </c>
      <c r="AA383">
        <v>9.33</v>
      </c>
      <c r="AC383">
        <v>12.43862520458265</v>
      </c>
    </row>
    <row r="384" spans="1:29" x14ac:dyDescent="0.3">
      <c r="A384" t="s">
        <v>405</v>
      </c>
      <c r="B384" t="s">
        <v>1071</v>
      </c>
      <c r="C384" t="s">
        <v>1072</v>
      </c>
      <c r="E384">
        <v>73302.720000000001</v>
      </c>
      <c r="F384" t="s">
        <v>720</v>
      </c>
      <c r="G384" t="s">
        <v>690</v>
      </c>
      <c r="I384">
        <v>113000</v>
      </c>
      <c r="J384">
        <v>101000</v>
      </c>
      <c r="K384">
        <v>126000</v>
      </c>
      <c r="L384">
        <v>82000</v>
      </c>
      <c r="M384">
        <v>7322.6199999999953</v>
      </c>
      <c r="N384">
        <v>74677.38</v>
      </c>
      <c r="O384">
        <v>77211</v>
      </c>
      <c r="P384">
        <v>379.83</v>
      </c>
      <c r="Q384">
        <v>116.2</v>
      </c>
      <c r="R384">
        <v>35</v>
      </c>
      <c r="S384">
        <v>4.25</v>
      </c>
      <c r="X384">
        <v>27879.99</v>
      </c>
      <c r="AA384">
        <v>10.37</v>
      </c>
      <c r="AC384">
        <v>33.913823008849548</v>
      </c>
    </row>
    <row r="385" spans="1:29" x14ac:dyDescent="0.3">
      <c r="A385" t="s">
        <v>405</v>
      </c>
      <c r="C385" t="s">
        <v>1073</v>
      </c>
      <c r="I385">
        <v>419000</v>
      </c>
      <c r="J385">
        <v>280000</v>
      </c>
      <c r="K385">
        <v>430000</v>
      </c>
      <c r="L385">
        <v>300000</v>
      </c>
      <c r="N385">
        <v>243000</v>
      </c>
      <c r="O385">
        <v>242300</v>
      </c>
      <c r="P385">
        <v>1337.99</v>
      </c>
      <c r="R385">
        <v>35</v>
      </c>
      <c r="S385">
        <v>5.25</v>
      </c>
      <c r="AC385">
        <v>42.004773269689743</v>
      </c>
    </row>
    <row r="386" spans="1:29" x14ac:dyDescent="0.3">
      <c r="A386" t="s">
        <v>406</v>
      </c>
      <c r="B386" t="s">
        <v>1074</v>
      </c>
      <c r="C386" t="s">
        <v>1075</v>
      </c>
      <c r="E386">
        <v>72357.91</v>
      </c>
      <c r="F386" t="s">
        <v>1076</v>
      </c>
      <c r="G386" t="s">
        <v>690</v>
      </c>
      <c r="I386">
        <v>129000</v>
      </c>
      <c r="J386">
        <v>110000</v>
      </c>
      <c r="K386">
        <v>138000</v>
      </c>
      <c r="L386">
        <v>89500</v>
      </c>
      <c r="M386">
        <v>11706.53</v>
      </c>
      <c r="N386">
        <v>77793.47</v>
      </c>
      <c r="O386">
        <v>81000</v>
      </c>
      <c r="P386">
        <v>441.03</v>
      </c>
      <c r="Q386">
        <v>175.63</v>
      </c>
      <c r="R386">
        <v>35</v>
      </c>
      <c r="S386">
        <v>5</v>
      </c>
      <c r="X386">
        <v>31003</v>
      </c>
      <c r="AA386">
        <v>14.55</v>
      </c>
      <c r="AC386">
        <v>39.694984496124029</v>
      </c>
    </row>
    <row r="387" spans="1:29" x14ac:dyDescent="0.3">
      <c r="A387" t="s">
        <v>407</v>
      </c>
      <c r="B387" t="s">
        <v>1077</v>
      </c>
      <c r="C387" t="s">
        <v>1078</v>
      </c>
      <c r="E387">
        <v>70642.570000000007</v>
      </c>
      <c r="F387" t="s">
        <v>906</v>
      </c>
      <c r="G387" t="s">
        <v>690</v>
      </c>
      <c r="I387">
        <v>161000</v>
      </c>
      <c r="J387">
        <v>139000</v>
      </c>
      <c r="K387">
        <v>174000</v>
      </c>
      <c r="L387">
        <v>139500</v>
      </c>
      <c r="M387">
        <v>16960.5</v>
      </c>
      <c r="N387">
        <v>122539.5</v>
      </c>
      <c r="O387">
        <v>113999</v>
      </c>
      <c r="P387">
        <v>560.80999999999995</v>
      </c>
      <c r="Q387">
        <v>150.36000000000001</v>
      </c>
      <c r="R387">
        <v>35</v>
      </c>
      <c r="S387">
        <v>4.25</v>
      </c>
      <c r="X387">
        <v>33422.99</v>
      </c>
      <c r="AA387">
        <v>13.48</v>
      </c>
      <c r="AC387">
        <v>23.88850931677019</v>
      </c>
    </row>
    <row r="388" spans="1:29" x14ac:dyDescent="0.3">
      <c r="A388" t="s">
        <v>408</v>
      </c>
      <c r="B388" t="s">
        <v>1079</v>
      </c>
      <c r="C388" t="s">
        <v>1080</v>
      </c>
      <c r="E388">
        <v>55216.79</v>
      </c>
      <c r="F388" t="s">
        <v>851</v>
      </c>
      <c r="G388" t="s">
        <v>690</v>
      </c>
      <c r="I388">
        <v>176000</v>
      </c>
      <c r="J388">
        <v>149500</v>
      </c>
      <c r="K388">
        <v>194000</v>
      </c>
      <c r="L388">
        <v>162000</v>
      </c>
      <c r="M388">
        <v>10432.510000000009</v>
      </c>
      <c r="N388">
        <v>151567.49</v>
      </c>
      <c r="O388">
        <v>144585</v>
      </c>
      <c r="P388">
        <v>679.89</v>
      </c>
      <c r="Q388">
        <v>126.15</v>
      </c>
      <c r="R388">
        <v>35</v>
      </c>
      <c r="S388">
        <v>3.875</v>
      </c>
      <c r="U388">
        <v>4103</v>
      </c>
      <c r="V388" t="s">
        <v>690</v>
      </c>
      <c r="W388" t="s">
        <v>852</v>
      </c>
      <c r="X388">
        <v>43006.879999999997</v>
      </c>
      <c r="AA388">
        <v>9.1199999999999992</v>
      </c>
      <c r="AC388">
        <v>13.882107954545461</v>
      </c>
    </row>
    <row r="389" spans="1:29" x14ac:dyDescent="0.3">
      <c r="A389" t="s">
        <v>409</v>
      </c>
      <c r="B389" t="s">
        <v>1081</v>
      </c>
      <c r="C389" t="s">
        <v>1082</v>
      </c>
      <c r="E389">
        <v>97081.59</v>
      </c>
      <c r="F389" t="s">
        <v>720</v>
      </c>
      <c r="G389" t="s">
        <v>690</v>
      </c>
      <c r="I389">
        <v>115000</v>
      </c>
      <c r="J389">
        <v>88800</v>
      </c>
      <c r="K389">
        <v>123800</v>
      </c>
      <c r="L389">
        <v>90000</v>
      </c>
      <c r="M389">
        <v>15000</v>
      </c>
      <c r="N389">
        <v>75000</v>
      </c>
      <c r="P389">
        <v>414.52</v>
      </c>
      <c r="Q389">
        <v>166.06</v>
      </c>
      <c r="R389">
        <v>35</v>
      </c>
      <c r="X389">
        <v>27531</v>
      </c>
      <c r="AA389">
        <v>7.89</v>
      </c>
      <c r="AC389">
        <v>34.782608695652172</v>
      </c>
    </row>
    <row r="390" spans="1:29" x14ac:dyDescent="0.3">
      <c r="A390" t="s">
        <v>409</v>
      </c>
      <c r="C390" t="s">
        <v>1083</v>
      </c>
      <c r="I390">
        <v>220500</v>
      </c>
      <c r="J390">
        <v>155000</v>
      </c>
      <c r="K390">
        <v>235000</v>
      </c>
      <c r="L390">
        <v>190000</v>
      </c>
      <c r="N390">
        <v>190000</v>
      </c>
      <c r="O390">
        <v>187425</v>
      </c>
      <c r="P390">
        <v>1064.18</v>
      </c>
      <c r="R390">
        <v>35</v>
      </c>
      <c r="S390">
        <v>5.5</v>
      </c>
      <c r="AC390">
        <v>13.83219954648526</v>
      </c>
    </row>
    <row r="391" spans="1:29" x14ac:dyDescent="0.3">
      <c r="A391" t="s">
        <v>410</v>
      </c>
      <c r="B391" t="s">
        <v>1084</v>
      </c>
      <c r="C391" t="s">
        <v>1085</v>
      </c>
      <c r="E391">
        <v>87574.71</v>
      </c>
      <c r="F391" t="s">
        <v>1051</v>
      </c>
      <c r="G391" t="s">
        <v>690</v>
      </c>
      <c r="I391">
        <v>189000</v>
      </c>
      <c r="J391">
        <v>162000</v>
      </c>
      <c r="K391">
        <v>202000</v>
      </c>
      <c r="L391">
        <v>145000</v>
      </c>
      <c r="M391">
        <v>17223.23</v>
      </c>
      <c r="N391">
        <v>127776.77</v>
      </c>
      <c r="O391">
        <v>130000</v>
      </c>
      <c r="P391">
        <v>620.64</v>
      </c>
      <c r="Q391">
        <v>127.88</v>
      </c>
      <c r="R391">
        <v>35</v>
      </c>
      <c r="S391">
        <v>4</v>
      </c>
      <c r="X391">
        <v>28510.75</v>
      </c>
      <c r="AA391">
        <v>12.36</v>
      </c>
      <c r="AC391">
        <v>32.393243386243377</v>
      </c>
    </row>
    <row r="392" spans="1:29" x14ac:dyDescent="0.3">
      <c r="A392" t="s">
        <v>411</v>
      </c>
      <c r="B392" t="s">
        <v>1086</v>
      </c>
      <c r="C392" t="s">
        <v>1087</v>
      </c>
      <c r="E392">
        <v>91555.29</v>
      </c>
      <c r="F392" t="s">
        <v>720</v>
      </c>
      <c r="G392" t="s">
        <v>690</v>
      </c>
      <c r="I392">
        <v>161000</v>
      </c>
      <c r="J392">
        <v>145000</v>
      </c>
      <c r="K392">
        <v>170000</v>
      </c>
      <c r="L392">
        <v>128500</v>
      </c>
      <c r="M392">
        <v>16101.070000000011</v>
      </c>
      <c r="N392">
        <v>112398.93</v>
      </c>
      <c r="O392">
        <v>110000</v>
      </c>
      <c r="P392">
        <v>541.73</v>
      </c>
      <c r="Q392">
        <v>149.44999999999999</v>
      </c>
      <c r="R392">
        <v>35</v>
      </c>
      <c r="S392">
        <v>5</v>
      </c>
      <c r="X392">
        <v>35364.370000000003</v>
      </c>
      <c r="AA392">
        <v>15.86</v>
      </c>
      <c r="AC392">
        <v>30.187000000000008</v>
      </c>
    </row>
    <row r="393" spans="1:29" x14ac:dyDescent="0.3">
      <c r="A393" t="s">
        <v>412</v>
      </c>
      <c r="B393" t="s">
        <v>1088</v>
      </c>
      <c r="C393" t="s">
        <v>1089</v>
      </c>
      <c r="E393">
        <v>79990.42</v>
      </c>
      <c r="F393" t="s">
        <v>1090</v>
      </c>
      <c r="G393" t="s">
        <v>690</v>
      </c>
      <c r="I393">
        <v>170000</v>
      </c>
      <c r="J393">
        <v>119000</v>
      </c>
      <c r="K393">
        <v>184000</v>
      </c>
      <c r="L393">
        <v>135000</v>
      </c>
      <c r="M393">
        <v>15000</v>
      </c>
      <c r="N393">
        <v>120000</v>
      </c>
      <c r="O393">
        <v>115825</v>
      </c>
      <c r="P393">
        <v>578.29999999999995</v>
      </c>
      <c r="Q393">
        <v>124.78</v>
      </c>
      <c r="R393">
        <v>35</v>
      </c>
      <c r="S393">
        <v>4.375</v>
      </c>
      <c r="X393">
        <v>27525</v>
      </c>
      <c r="AA393">
        <v>3.97</v>
      </c>
      <c r="AC393">
        <v>29.411764705882351</v>
      </c>
    </row>
    <row r="394" spans="1:29" x14ac:dyDescent="0.3">
      <c r="A394" t="s">
        <v>412</v>
      </c>
      <c r="C394" t="s">
        <v>1091</v>
      </c>
      <c r="I394">
        <v>265000</v>
      </c>
      <c r="J394">
        <v>130000</v>
      </c>
      <c r="K394">
        <v>280000</v>
      </c>
      <c r="L394">
        <v>200000</v>
      </c>
      <c r="N394">
        <v>200000</v>
      </c>
      <c r="O394">
        <v>194000</v>
      </c>
      <c r="P394">
        <v>954.36</v>
      </c>
      <c r="R394">
        <v>35</v>
      </c>
      <c r="S394">
        <v>4.25</v>
      </c>
      <c r="AC394">
        <v>24.528301886792448</v>
      </c>
    </row>
    <row r="395" spans="1:29" x14ac:dyDescent="0.3">
      <c r="A395" t="s">
        <v>413</v>
      </c>
      <c r="B395" t="s">
        <v>1020</v>
      </c>
      <c r="C395" t="s">
        <v>1092</v>
      </c>
      <c r="E395">
        <v>84183.63</v>
      </c>
      <c r="F395" t="s">
        <v>1090</v>
      </c>
      <c r="G395" t="s">
        <v>690</v>
      </c>
      <c r="I395">
        <v>179000</v>
      </c>
      <c r="J395">
        <v>152000</v>
      </c>
      <c r="K395">
        <v>192000</v>
      </c>
      <c r="L395">
        <v>138500</v>
      </c>
      <c r="M395">
        <v>22328.679999999989</v>
      </c>
      <c r="N395">
        <v>116171.32</v>
      </c>
      <c r="O395">
        <v>120000</v>
      </c>
      <c r="P395">
        <v>690.79</v>
      </c>
      <c r="Q395">
        <v>166.48</v>
      </c>
      <c r="R395">
        <v>35</v>
      </c>
      <c r="S395">
        <v>5.625</v>
      </c>
      <c r="X395">
        <v>36428.51</v>
      </c>
      <c r="AA395">
        <v>11.79</v>
      </c>
      <c r="AC395">
        <v>35.099821229050278</v>
      </c>
    </row>
    <row r="396" spans="1:29" x14ac:dyDescent="0.3">
      <c r="A396" t="s">
        <v>414</v>
      </c>
      <c r="B396" t="s">
        <v>1093</v>
      </c>
      <c r="C396" t="s">
        <v>854</v>
      </c>
      <c r="E396">
        <v>72771.25</v>
      </c>
      <c r="F396" t="s">
        <v>906</v>
      </c>
      <c r="G396" t="s">
        <v>690</v>
      </c>
      <c r="I396">
        <v>106000</v>
      </c>
      <c r="J396">
        <v>89500</v>
      </c>
      <c r="K396">
        <v>120000</v>
      </c>
      <c r="L396">
        <v>72000</v>
      </c>
      <c r="M396">
        <v>14774.01</v>
      </c>
      <c r="N396">
        <v>57225.99</v>
      </c>
      <c r="O396">
        <v>46500</v>
      </c>
      <c r="P396">
        <v>228.75</v>
      </c>
      <c r="Q396">
        <v>119.94</v>
      </c>
      <c r="R396">
        <v>35</v>
      </c>
      <c r="S396">
        <v>4.25</v>
      </c>
      <c r="X396">
        <v>16285.64</v>
      </c>
      <c r="AA396">
        <v>13.89</v>
      </c>
      <c r="AC396">
        <v>46.013216981132082</v>
      </c>
    </row>
    <row r="397" spans="1:29" x14ac:dyDescent="0.3">
      <c r="A397" t="s">
        <v>416</v>
      </c>
      <c r="B397" t="s">
        <v>1094</v>
      </c>
      <c r="C397" t="s">
        <v>1095</v>
      </c>
      <c r="I397">
        <v>302000</v>
      </c>
      <c r="J397">
        <v>316000</v>
      </c>
      <c r="K397">
        <v>316000</v>
      </c>
      <c r="L397">
        <v>265000</v>
      </c>
      <c r="M397">
        <v>32000</v>
      </c>
      <c r="N397">
        <v>233000</v>
      </c>
      <c r="O397">
        <v>232000</v>
      </c>
      <c r="P397">
        <v>1090.95</v>
      </c>
      <c r="Q397">
        <v>106.31</v>
      </c>
      <c r="R397">
        <v>35</v>
      </c>
      <c r="S397">
        <v>3.875</v>
      </c>
      <c r="X397">
        <v>54953.18</v>
      </c>
      <c r="AA397">
        <v>3.52</v>
      </c>
      <c r="AC397">
        <v>22.847682119205292</v>
      </c>
    </row>
    <row r="398" spans="1:29" x14ac:dyDescent="0.3">
      <c r="A398" t="s">
        <v>417</v>
      </c>
      <c r="B398" t="s">
        <v>1096</v>
      </c>
      <c r="C398" t="s">
        <v>1097</v>
      </c>
      <c r="E398">
        <v>70079.97</v>
      </c>
      <c r="F398" t="s">
        <v>956</v>
      </c>
      <c r="G398" t="s">
        <v>690</v>
      </c>
      <c r="I398">
        <v>154500</v>
      </c>
      <c r="J398">
        <v>98000</v>
      </c>
      <c r="K398">
        <v>173000</v>
      </c>
      <c r="L398">
        <v>136000</v>
      </c>
      <c r="M398">
        <v>0</v>
      </c>
      <c r="N398">
        <v>136000</v>
      </c>
      <c r="O398">
        <v>122000</v>
      </c>
      <c r="P398">
        <v>600.16999999999996</v>
      </c>
      <c r="Q398">
        <v>103.03</v>
      </c>
      <c r="R398">
        <v>35</v>
      </c>
      <c r="S398">
        <v>4.25</v>
      </c>
      <c r="X398">
        <v>31627.34</v>
      </c>
      <c r="AA398">
        <v>9.11</v>
      </c>
      <c r="AC398">
        <v>11.974110032362461</v>
      </c>
    </row>
    <row r="399" spans="1:29" x14ac:dyDescent="0.3">
      <c r="A399" t="s">
        <v>418</v>
      </c>
      <c r="B399" t="s">
        <v>1098</v>
      </c>
      <c r="C399" t="s">
        <v>1099</v>
      </c>
      <c r="E399">
        <v>64512.05</v>
      </c>
      <c r="F399" t="s">
        <v>997</v>
      </c>
      <c r="G399" t="s">
        <v>690</v>
      </c>
      <c r="I399">
        <v>174500</v>
      </c>
      <c r="J399">
        <v>129000</v>
      </c>
      <c r="K399">
        <v>189000</v>
      </c>
      <c r="L399">
        <v>130000</v>
      </c>
      <c r="M399">
        <v>15000</v>
      </c>
      <c r="N399">
        <v>115000</v>
      </c>
      <c r="O399">
        <v>115500</v>
      </c>
      <c r="P399">
        <v>611.24</v>
      </c>
      <c r="Q399">
        <v>123.59</v>
      </c>
      <c r="R399">
        <v>35</v>
      </c>
      <c r="S399">
        <v>4.875</v>
      </c>
      <c r="X399">
        <v>28772.47</v>
      </c>
      <c r="AA399">
        <v>9.7899999999999991</v>
      </c>
      <c r="AC399">
        <v>34.097421203438387</v>
      </c>
    </row>
    <row r="400" spans="1:29" x14ac:dyDescent="0.3">
      <c r="A400" t="s">
        <v>419</v>
      </c>
      <c r="B400" t="s">
        <v>854</v>
      </c>
      <c r="C400" t="s">
        <v>1100</v>
      </c>
      <c r="E400">
        <v>62889.82</v>
      </c>
      <c r="F400" t="s">
        <v>720</v>
      </c>
      <c r="G400" t="s">
        <v>690</v>
      </c>
      <c r="I400">
        <v>140500</v>
      </c>
      <c r="J400">
        <v>123000</v>
      </c>
      <c r="K400">
        <v>153000</v>
      </c>
      <c r="L400">
        <v>130700</v>
      </c>
      <c r="M400">
        <v>16677.25</v>
      </c>
      <c r="N400">
        <v>114022.75</v>
      </c>
      <c r="O400">
        <v>111458</v>
      </c>
      <c r="P400">
        <v>548.30999999999995</v>
      </c>
      <c r="Q400">
        <v>139.88</v>
      </c>
      <c r="R400">
        <v>35</v>
      </c>
      <c r="S400">
        <v>4.25</v>
      </c>
      <c r="X400">
        <v>35600.050000000003</v>
      </c>
      <c r="AA400">
        <v>13.56</v>
      </c>
      <c r="AC400">
        <v>18.845017793594309</v>
      </c>
    </row>
    <row r="401" spans="1:29" x14ac:dyDescent="0.3">
      <c r="A401" t="s">
        <v>420</v>
      </c>
      <c r="B401" t="s">
        <v>1101</v>
      </c>
      <c r="C401" t="s">
        <v>1102</v>
      </c>
      <c r="J401">
        <v>0</v>
      </c>
      <c r="L401">
        <v>300000</v>
      </c>
      <c r="M401">
        <v>300000</v>
      </c>
      <c r="O401">
        <v>227000</v>
      </c>
      <c r="P401">
        <v>1218.5899999999999</v>
      </c>
      <c r="Q401">
        <v>171.42</v>
      </c>
      <c r="S401">
        <v>5</v>
      </c>
      <c r="X401">
        <v>52373.16</v>
      </c>
      <c r="AA401">
        <v>2.39</v>
      </c>
    </row>
    <row r="402" spans="1:29" x14ac:dyDescent="0.3">
      <c r="A402" t="s">
        <v>421</v>
      </c>
      <c r="B402" t="s">
        <v>1103</v>
      </c>
      <c r="C402" t="s">
        <v>763</v>
      </c>
      <c r="E402">
        <v>56230.86</v>
      </c>
      <c r="F402" t="s">
        <v>711</v>
      </c>
      <c r="G402" t="s">
        <v>690</v>
      </c>
      <c r="I402">
        <v>251200</v>
      </c>
      <c r="J402">
        <v>180000</v>
      </c>
      <c r="K402">
        <v>260000</v>
      </c>
      <c r="L402">
        <v>172500</v>
      </c>
      <c r="M402">
        <v>49924</v>
      </c>
      <c r="N402">
        <v>122576</v>
      </c>
      <c r="O402">
        <v>120576</v>
      </c>
      <c r="P402">
        <v>762.12</v>
      </c>
      <c r="Q402">
        <v>157.56</v>
      </c>
      <c r="R402">
        <v>35</v>
      </c>
      <c r="S402">
        <v>6.5</v>
      </c>
      <c r="U402">
        <v>35000</v>
      </c>
      <c r="V402" t="s">
        <v>690</v>
      </c>
      <c r="W402" t="s">
        <v>712</v>
      </c>
      <c r="X402">
        <v>37083.64</v>
      </c>
      <c r="AA402">
        <v>7.59</v>
      </c>
      <c r="AC402">
        <v>51.203821656050948</v>
      </c>
    </row>
    <row r="403" spans="1:29" x14ac:dyDescent="0.3">
      <c r="A403" t="s">
        <v>421</v>
      </c>
      <c r="C403" t="s">
        <v>1104</v>
      </c>
      <c r="E403">
        <v>10836.89</v>
      </c>
      <c r="F403" t="s">
        <v>910</v>
      </c>
      <c r="G403" t="s">
        <v>690</v>
      </c>
      <c r="I403">
        <v>164000</v>
      </c>
      <c r="J403">
        <v>122000</v>
      </c>
      <c r="K403">
        <v>180000</v>
      </c>
      <c r="L403">
        <v>145000</v>
      </c>
      <c r="N403">
        <v>128277.25</v>
      </c>
      <c r="O403">
        <v>130000</v>
      </c>
      <c r="P403">
        <v>630.04</v>
      </c>
      <c r="R403">
        <v>35</v>
      </c>
      <c r="S403">
        <v>4.125</v>
      </c>
      <c r="AC403">
        <v>21.782164634146341</v>
      </c>
    </row>
    <row r="404" spans="1:29" x14ac:dyDescent="0.3">
      <c r="A404" t="s">
        <v>422</v>
      </c>
      <c r="B404" t="s">
        <v>1105</v>
      </c>
      <c r="C404" t="s">
        <v>1106</v>
      </c>
      <c r="I404">
        <v>3666600</v>
      </c>
      <c r="J404">
        <v>261000</v>
      </c>
      <c r="K404">
        <v>376000</v>
      </c>
      <c r="L404">
        <v>250000</v>
      </c>
      <c r="M404">
        <v>65000</v>
      </c>
      <c r="N404">
        <v>185000</v>
      </c>
      <c r="O404">
        <v>181800</v>
      </c>
      <c r="P404">
        <v>1017.46</v>
      </c>
      <c r="Q404">
        <v>256.83</v>
      </c>
      <c r="R404">
        <v>35</v>
      </c>
      <c r="S404">
        <v>5.37</v>
      </c>
      <c r="X404">
        <v>65974.740000000005</v>
      </c>
      <c r="AA404">
        <v>1.25</v>
      </c>
      <c r="AC404">
        <v>94.954453717340314</v>
      </c>
    </row>
    <row r="405" spans="1:29" x14ac:dyDescent="0.3">
      <c r="A405" t="s">
        <v>423</v>
      </c>
      <c r="B405" t="s">
        <v>1107</v>
      </c>
      <c r="C405" t="s">
        <v>1108</v>
      </c>
      <c r="E405">
        <v>86034.58</v>
      </c>
      <c r="F405" t="s">
        <v>1109</v>
      </c>
      <c r="G405" t="s">
        <v>690</v>
      </c>
      <c r="I405">
        <v>127500</v>
      </c>
      <c r="J405">
        <v>108000</v>
      </c>
      <c r="K405">
        <v>138000</v>
      </c>
      <c r="L405">
        <v>96500</v>
      </c>
      <c r="M405">
        <v>16084.899999999991</v>
      </c>
      <c r="N405">
        <v>80415.100000000006</v>
      </c>
      <c r="O405">
        <v>80106</v>
      </c>
      <c r="P405">
        <v>405.88</v>
      </c>
      <c r="Q405">
        <v>150.79</v>
      </c>
      <c r="R405">
        <v>35</v>
      </c>
      <c r="S405">
        <v>4.5</v>
      </c>
      <c r="U405">
        <v>14620.85</v>
      </c>
      <c r="V405" t="s">
        <v>690</v>
      </c>
      <c r="W405" t="s">
        <v>715</v>
      </c>
      <c r="X405">
        <v>30798</v>
      </c>
      <c r="AA405">
        <v>15.17</v>
      </c>
      <c r="AC405">
        <v>36.929333333333332</v>
      </c>
    </row>
    <row r="406" spans="1:29" x14ac:dyDescent="0.3">
      <c r="A406" t="s">
        <v>424</v>
      </c>
      <c r="B406" t="s">
        <v>1110</v>
      </c>
      <c r="C406" t="s">
        <v>870</v>
      </c>
      <c r="E406">
        <v>68969.570000000007</v>
      </c>
      <c r="F406" t="s">
        <v>946</v>
      </c>
      <c r="G406" t="s">
        <v>690</v>
      </c>
      <c r="I406">
        <v>139000</v>
      </c>
      <c r="J406">
        <v>123000</v>
      </c>
      <c r="K406">
        <v>153000</v>
      </c>
      <c r="L406">
        <v>123000</v>
      </c>
      <c r="M406">
        <v>19008.23</v>
      </c>
      <c r="N406">
        <v>103991.77</v>
      </c>
      <c r="O406">
        <v>103400</v>
      </c>
      <c r="P406">
        <v>531.62</v>
      </c>
      <c r="Q406">
        <v>110.4</v>
      </c>
      <c r="R406">
        <v>35</v>
      </c>
      <c r="S406">
        <v>4.625</v>
      </c>
      <c r="X406">
        <v>26001.96</v>
      </c>
      <c r="AA406">
        <v>11.11</v>
      </c>
      <c r="AC406">
        <v>25.185776978417259</v>
      </c>
    </row>
    <row r="407" spans="1:29" x14ac:dyDescent="0.3">
      <c r="A407" t="s">
        <v>425</v>
      </c>
      <c r="B407" t="s">
        <v>1111</v>
      </c>
      <c r="C407" t="s">
        <v>1112</v>
      </c>
      <c r="E407">
        <v>65255.64</v>
      </c>
      <c r="F407" t="s">
        <v>863</v>
      </c>
      <c r="G407" t="s">
        <v>690</v>
      </c>
      <c r="I407">
        <v>171500</v>
      </c>
      <c r="J407">
        <v>115000</v>
      </c>
      <c r="K407">
        <v>190000</v>
      </c>
      <c r="L407">
        <v>164500</v>
      </c>
      <c r="M407">
        <v>40640.820000000007</v>
      </c>
      <c r="N407">
        <v>123859.18</v>
      </c>
      <c r="O407">
        <v>120500</v>
      </c>
      <c r="P407">
        <v>628.59</v>
      </c>
      <c r="Q407">
        <v>124.51</v>
      </c>
      <c r="R407">
        <v>35</v>
      </c>
      <c r="S407">
        <v>4.75</v>
      </c>
      <c r="X407">
        <v>35703.589999999997</v>
      </c>
      <c r="AA407">
        <v>9.06</v>
      </c>
      <c r="AC407">
        <v>27.778903790087469</v>
      </c>
    </row>
    <row r="408" spans="1:29" x14ac:dyDescent="0.3">
      <c r="A408" t="s">
        <v>426</v>
      </c>
      <c r="B408" t="s">
        <v>1113</v>
      </c>
      <c r="C408" t="s">
        <v>1114</v>
      </c>
      <c r="E408">
        <v>91365.91</v>
      </c>
      <c r="F408" t="s">
        <v>1090</v>
      </c>
      <c r="G408" t="s">
        <v>690</v>
      </c>
      <c r="I408">
        <v>188649</v>
      </c>
      <c r="J408">
        <v>145000</v>
      </c>
      <c r="K408">
        <v>200000</v>
      </c>
      <c r="L408">
        <v>200000</v>
      </c>
      <c r="M408">
        <v>20410.170000000009</v>
      </c>
      <c r="N408">
        <v>179589.83</v>
      </c>
      <c r="O408">
        <v>136500</v>
      </c>
      <c r="P408">
        <v>691.63</v>
      </c>
      <c r="Q408">
        <v>110.12</v>
      </c>
      <c r="R408">
        <v>35</v>
      </c>
      <c r="S408">
        <v>4.5</v>
      </c>
      <c r="X408">
        <v>42601.62</v>
      </c>
      <c r="AA408">
        <v>11.7</v>
      </c>
      <c r="AC408">
        <v>4.8021298814200026</v>
      </c>
    </row>
    <row r="409" spans="1:29" x14ac:dyDescent="0.3">
      <c r="A409" t="s">
        <v>427</v>
      </c>
      <c r="B409" t="s">
        <v>739</v>
      </c>
      <c r="J409">
        <v>0</v>
      </c>
      <c r="M409">
        <v>0</v>
      </c>
      <c r="P409">
        <v>0</v>
      </c>
      <c r="Q409">
        <v>0</v>
      </c>
    </row>
    <row r="410" spans="1:29" x14ac:dyDescent="0.3">
      <c r="A410" t="s">
        <v>427</v>
      </c>
      <c r="B410" t="s">
        <v>739</v>
      </c>
      <c r="C410" t="s">
        <v>1115</v>
      </c>
      <c r="I410">
        <v>323000</v>
      </c>
      <c r="J410">
        <v>215000</v>
      </c>
      <c r="K410">
        <v>335000</v>
      </c>
      <c r="L410">
        <v>305000</v>
      </c>
      <c r="M410">
        <v>35000</v>
      </c>
      <c r="N410">
        <v>270000</v>
      </c>
      <c r="O410">
        <v>270000</v>
      </c>
      <c r="P410">
        <v>1449.42</v>
      </c>
      <c r="Q410">
        <v>147.58000000000001</v>
      </c>
      <c r="R410">
        <v>35</v>
      </c>
      <c r="S410">
        <v>5</v>
      </c>
      <c r="X410">
        <v>84599.1</v>
      </c>
      <c r="AA410">
        <v>2.77</v>
      </c>
      <c r="AC410">
        <v>16.40866873065016</v>
      </c>
    </row>
    <row r="411" spans="1:29" x14ac:dyDescent="0.3">
      <c r="A411" t="s">
        <v>428</v>
      </c>
      <c r="B411" t="s">
        <v>992</v>
      </c>
      <c r="C411" t="s">
        <v>1116</v>
      </c>
      <c r="E411">
        <v>82050.679999999993</v>
      </c>
      <c r="F411" t="s">
        <v>720</v>
      </c>
      <c r="G411" t="s">
        <v>690</v>
      </c>
      <c r="I411">
        <v>135000</v>
      </c>
      <c r="J411">
        <v>117000</v>
      </c>
      <c r="K411">
        <v>146000</v>
      </c>
      <c r="L411">
        <v>109000</v>
      </c>
      <c r="M411">
        <v>1092.419999999998</v>
      </c>
      <c r="N411">
        <v>107907.58</v>
      </c>
      <c r="O411">
        <v>103550</v>
      </c>
      <c r="P411">
        <v>524.66999999999996</v>
      </c>
      <c r="Q411">
        <v>116.96</v>
      </c>
      <c r="R411">
        <v>35</v>
      </c>
      <c r="S411">
        <v>4.5</v>
      </c>
      <c r="X411">
        <v>34705</v>
      </c>
      <c r="AA411">
        <v>4.96</v>
      </c>
      <c r="AC411">
        <v>20.068459259259249</v>
      </c>
    </row>
    <row r="412" spans="1:29" x14ac:dyDescent="0.3">
      <c r="A412" t="s">
        <v>428</v>
      </c>
      <c r="C412" t="s">
        <v>1117</v>
      </c>
      <c r="I412">
        <v>179000</v>
      </c>
      <c r="J412">
        <v>140000</v>
      </c>
      <c r="K412">
        <v>195000</v>
      </c>
      <c r="L412">
        <v>151250</v>
      </c>
      <c r="N412">
        <v>136250</v>
      </c>
      <c r="O412">
        <v>137250</v>
      </c>
      <c r="P412">
        <v>715.96</v>
      </c>
      <c r="R412">
        <v>35</v>
      </c>
      <c r="S412">
        <v>4.75</v>
      </c>
      <c r="AC412">
        <v>23.882681564245811</v>
      </c>
    </row>
    <row r="413" spans="1:29" x14ac:dyDescent="0.3">
      <c r="A413" t="s">
        <v>429</v>
      </c>
      <c r="B413" t="s">
        <v>1118</v>
      </c>
      <c r="C413" t="s">
        <v>1119</v>
      </c>
      <c r="E413">
        <v>67547.039999999994</v>
      </c>
      <c r="F413" t="s">
        <v>1090</v>
      </c>
      <c r="G413" t="s">
        <v>690</v>
      </c>
      <c r="I413">
        <v>213414</v>
      </c>
      <c r="J413">
        <v>200400</v>
      </c>
      <c r="K413">
        <v>225000</v>
      </c>
      <c r="L413">
        <v>145000</v>
      </c>
      <c r="M413">
        <v>20688.34</v>
      </c>
      <c r="N413">
        <v>124311.66</v>
      </c>
      <c r="O413">
        <v>125000</v>
      </c>
      <c r="P413">
        <v>671.03</v>
      </c>
      <c r="Q413">
        <v>159.22999999999999</v>
      </c>
      <c r="R413">
        <v>35</v>
      </c>
      <c r="S413">
        <v>5</v>
      </c>
      <c r="X413">
        <v>37643</v>
      </c>
      <c r="AA413">
        <v>3.62</v>
      </c>
      <c r="AC413">
        <v>41.750934802777692</v>
      </c>
    </row>
    <row r="414" spans="1:29" x14ac:dyDescent="0.3">
      <c r="A414" t="s">
        <v>429</v>
      </c>
      <c r="C414" t="s">
        <v>1120</v>
      </c>
      <c r="I414">
        <v>283263</v>
      </c>
      <c r="J414">
        <v>158000</v>
      </c>
      <c r="K414">
        <v>298000</v>
      </c>
      <c r="L414">
        <v>195000</v>
      </c>
      <c r="N414">
        <v>180000</v>
      </c>
      <c r="O414">
        <v>108000</v>
      </c>
      <c r="P414">
        <v>559.15</v>
      </c>
      <c r="R414">
        <v>35</v>
      </c>
      <c r="S414">
        <v>2.75</v>
      </c>
      <c r="AC414">
        <v>36.454814077376852</v>
      </c>
    </row>
    <row r="415" spans="1:29" x14ac:dyDescent="0.3">
      <c r="A415" t="s">
        <v>429</v>
      </c>
      <c r="C415" t="s">
        <v>1121</v>
      </c>
      <c r="I415">
        <v>538680</v>
      </c>
      <c r="J415">
        <v>420000</v>
      </c>
      <c r="K415">
        <v>560000</v>
      </c>
      <c r="L415">
        <v>310000</v>
      </c>
      <c r="N415">
        <v>310000</v>
      </c>
      <c r="O415">
        <v>120000</v>
      </c>
      <c r="P415">
        <v>440.9</v>
      </c>
      <c r="R415">
        <v>35</v>
      </c>
      <c r="S415">
        <v>3.8</v>
      </c>
      <c r="AC415">
        <v>42.451919506942893</v>
      </c>
    </row>
    <row r="416" spans="1:29" x14ac:dyDescent="0.3">
      <c r="A416" t="s">
        <v>430</v>
      </c>
      <c r="B416" t="s">
        <v>1122</v>
      </c>
      <c r="C416" t="s">
        <v>1123</v>
      </c>
      <c r="E416">
        <v>74302.58</v>
      </c>
      <c r="F416" t="s">
        <v>720</v>
      </c>
      <c r="G416" t="s">
        <v>690</v>
      </c>
      <c r="I416">
        <v>121000</v>
      </c>
      <c r="J416">
        <v>107000</v>
      </c>
      <c r="K416">
        <v>134000</v>
      </c>
      <c r="L416">
        <v>96550</v>
      </c>
      <c r="M416">
        <v>16924.689999999999</v>
      </c>
      <c r="N416">
        <v>79625.31</v>
      </c>
      <c r="O416">
        <v>79880</v>
      </c>
      <c r="P416">
        <v>392.96</v>
      </c>
      <c r="Q416">
        <v>148.79</v>
      </c>
      <c r="R416">
        <v>35</v>
      </c>
      <c r="S416">
        <v>4.25</v>
      </c>
      <c r="X416">
        <v>27833.82</v>
      </c>
      <c r="AA416">
        <v>13.33</v>
      </c>
      <c r="AC416">
        <v>34.193958677685963</v>
      </c>
    </row>
    <row r="417" spans="1:29" x14ac:dyDescent="0.3">
      <c r="A417" t="s">
        <v>431</v>
      </c>
      <c r="B417" t="s">
        <v>1124</v>
      </c>
      <c r="C417" t="s">
        <v>1125</v>
      </c>
      <c r="I417">
        <v>360000</v>
      </c>
      <c r="J417">
        <v>220000</v>
      </c>
      <c r="K417">
        <v>370000</v>
      </c>
      <c r="L417">
        <v>295000</v>
      </c>
      <c r="M417">
        <v>64000</v>
      </c>
      <c r="N417">
        <v>231000</v>
      </c>
      <c r="O417">
        <v>230000</v>
      </c>
      <c r="P417">
        <v>1305.9100000000001</v>
      </c>
      <c r="Q417">
        <v>176.8</v>
      </c>
      <c r="R417">
        <v>35</v>
      </c>
      <c r="S417">
        <v>5.5</v>
      </c>
      <c r="X417">
        <v>54701.04</v>
      </c>
      <c r="AA417">
        <v>1.72</v>
      </c>
      <c r="AC417">
        <v>35.833333333333329</v>
      </c>
    </row>
    <row r="418" spans="1:29" x14ac:dyDescent="0.3">
      <c r="A418" t="s">
        <v>432</v>
      </c>
      <c r="B418" t="s">
        <v>1126</v>
      </c>
      <c r="C418" t="s">
        <v>1127</v>
      </c>
      <c r="E418">
        <v>75710.539999999994</v>
      </c>
      <c r="F418" t="s">
        <v>946</v>
      </c>
      <c r="G418" t="s">
        <v>690</v>
      </c>
      <c r="I418">
        <v>125500</v>
      </c>
      <c r="J418">
        <v>103000</v>
      </c>
      <c r="K418">
        <v>138000</v>
      </c>
      <c r="L418">
        <v>125000</v>
      </c>
      <c r="M418">
        <v>23886.95</v>
      </c>
      <c r="N418">
        <v>101113.05</v>
      </c>
      <c r="O418">
        <v>95600</v>
      </c>
      <c r="P418">
        <v>477.32</v>
      </c>
      <c r="Q418">
        <v>75.78</v>
      </c>
      <c r="R418">
        <v>35</v>
      </c>
      <c r="S418">
        <v>4.3570000000000002</v>
      </c>
      <c r="X418">
        <v>34380.65</v>
      </c>
      <c r="AA418">
        <v>3.13</v>
      </c>
      <c r="AC418">
        <v>19.431832669322699</v>
      </c>
    </row>
    <row r="419" spans="1:29" x14ac:dyDescent="0.3">
      <c r="A419" t="s">
        <v>432</v>
      </c>
      <c r="C419" t="s">
        <v>687</v>
      </c>
      <c r="I419">
        <v>200000</v>
      </c>
      <c r="J419">
        <v>155000</v>
      </c>
      <c r="K419">
        <v>215000</v>
      </c>
      <c r="L419">
        <v>165000</v>
      </c>
      <c r="N419">
        <v>165000</v>
      </c>
      <c r="O419">
        <v>160000</v>
      </c>
      <c r="P419">
        <v>858.91</v>
      </c>
      <c r="R419">
        <v>35</v>
      </c>
      <c r="S419">
        <v>5</v>
      </c>
      <c r="AC419">
        <v>17.5</v>
      </c>
    </row>
    <row r="420" spans="1:29" x14ac:dyDescent="0.3">
      <c r="A420" t="s">
        <v>433</v>
      </c>
      <c r="B420" t="s">
        <v>865</v>
      </c>
      <c r="C420" t="s">
        <v>1008</v>
      </c>
      <c r="E420">
        <v>95596.4</v>
      </c>
      <c r="F420" t="s">
        <v>720</v>
      </c>
      <c r="G420" t="s">
        <v>690</v>
      </c>
      <c r="I420">
        <v>205000</v>
      </c>
      <c r="J420">
        <v>180000</v>
      </c>
      <c r="K420">
        <v>215000</v>
      </c>
      <c r="L420">
        <v>136000</v>
      </c>
      <c r="M420">
        <v>8806.9700000000012</v>
      </c>
      <c r="N420">
        <v>127193.03</v>
      </c>
      <c r="O420">
        <v>126000</v>
      </c>
      <c r="P420">
        <v>686.05</v>
      </c>
      <c r="Q420">
        <v>190.85</v>
      </c>
      <c r="R420">
        <v>35</v>
      </c>
      <c r="S420">
        <v>5.125</v>
      </c>
      <c r="X420">
        <v>45006.67</v>
      </c>
      <c r="AA420">
        <v>8.9499999999999993</v>
      </c>
      <c r="AC420">
        <v>37.954619512195123</v>
      </c>
    </row>
    <row r="421" spans="1:29" x14ac:dyDescent="0.3">
      <c r="A421" t="s">
        <v>433</v>
      </c>
      <c r="C421" t="s">
        <v>1128</v>
      </c>
      <c r="I421">
        <v>326000</v>
      </c>
      <c r="J421">
        <v>345000</v>
      </c>
      <c r="K421">
        <v>345000</v>
      </c>
      <c r="L421">
        <v>245000</v>
      </c>
      <c r="N421">
        <v>245000</v>
      </c>
      <c r="O421">
        <v>237650</v>
      </c>
      <c r="P421">
        <v>1186.55</v>
      </c>
      <c r="R421">
        <v>35</v>
      </c>
      <c r="S421">
        <v>4.375</v>
      </c>
      <c r="AC421">
        <v>24.846625766871171</v>
      </c>
    </row>
    <row r="422" spans="1:29" x14ac:dyDescent="0.3">
      <c r="A422" t="s">
        <v>434</v>
      </c>
      <c r="C422" t="s">
        <v>1129</v>
      </c>
      <c r="I422">
        <v>351000</v>
      </c>
      <c r="J422">
        <v>215000</v>
      </c>
      <c r="K422">
        <v>365000</v>
      </c>
      <c r="L422">
        <v>275000</v>
      </c>
      <c r="N422">
        <v>275000</v>
      </c>
      <c r="O422">
        <v>266750</v>
      </c>
      <c r="P422">
        <v>1124.6300000000001</v>
      </c>
      <c r="R422">
        <v>35</v>
      </c>
      <c r="S422">
        <v>3</v>
      </c>
      <c r="AC422">
        <v>21.652421652421651</v>
      </c>
    </row>
    <row r="423" spans="1:29" x14ac:dyDescent="0.3">
      <c r="A423" t="s">
        <v>435</v>
      </c>
      <c r="B423" t="s">
        <v>886</v>
      </c>
      <c r="C423" t="s">
        <v>1130</v>
      </c>
      <c r="I423">
        <v>365400</v>
      </c>
      <c r="J423">
        <v>225000</v>
      </c>
      <c r="K423">
        <v>375000</v>
      </c>
      <c r="L423">
        <v>280000</v>
      </c>
      <c r="M423">
        <v>65000</v>
      </c>
      <c r="N423">
        <v>215000</v>
      </c>
      <c r="O423">
        <v>213145</v>
      </c>
      <c r="P423">
        <v>1192.8900000000001</v>
      </c>
      <c r="Q423">
        <v>200.46</v>
      </c>
      <c r="R423">
        <v>35</v>
      </c>
      <c r="S423">
        <v>5.37</v>
      </c>
      <c r="X423">
        <v>56486.04</v>
      </c>
      <c r="AA423">
        <v>1.32</v>
      </c>
      <c r="AC423">
        <v>41.160372194854958</v>
      </c>
    </row>
    <row r="424" spans="1:29" x14ac:dyDescent="0.3">
      <c r="A424" t="s">
        <v>436</v>
      </c>
      <c r="B424" t="s">
        <v>1131</v>
      </c>
      <c r="C424" t="s">
        <v>989</v>
      </c>
      <c r="I424">
        <v>375000</v>
      </c>
      <c r="J424">
        <v>275000</v>
      </c>
      <c r="K424">
        <v>375000</v>
      </c>
      <c r="L424">
        <v>272000</v>
      </c>
      <c r="M424">
        <v>65000</v>
      </c>
      <c r="N424">
        <v>207000</v>
      </c>
      <c r="O424">
        <v>204200</v>
      </c>
      <c r="P424">
        <v>1191.6600000000001</v>
      </c>
      <c r="Q424">
        <v>200.87</v>
      </c>
      <c r="R424">
        <v>35</v>
      </c>
      <c r="S424">
        <v>5.75</v>
      </c>
      <c r="X424">
        <v>60412.09</v>
      </c>
      <c r="AA424">
        <v>1.47</v>
      </c>
      <c r="AC424">
        <v>44.8</v>
      </c>
    </row>
    <row r="425" spans="1:29" x14ac:dyDescent="0.3">
      <c r="A425" t="s">
        <v>438</v>
      </c>
      <c r="B425" t="s">
        <v>1132</v>
      </c>
      <c r="C425" t="s">
        <v>1133</v>
      </c>
      <c r="E425">
        <v>102354.43</v>
      </c>
      <c r="F425" t="s">
        <v>946</v>
      </c>
      <c r="G425" t="s">
        <v>690</v>
      </c>
      <c r="I425">
        <v>158000</v>
      </c>
      <c r="J425">
        <v>140000</v>
      </c>
      <c r="K425">
        <v>170000</v>
      </c>
      <c r="L425">
        <v>147500</v>
      </c>
      <c r="M425">
        <v>5000</v>
      </c>
      <c r="N425">
        <v>142500</v>
      </c>
      <c r="O425">
        <v>143000</v>
      </c>
      <c r="P425">
        <v>811.94</v>
      </c>
      <c r="Q425">
        <v>77.080000000000013</v>
      </c>
      <c r="R425">
        <v>35</v>
      </c>
      <c r="S425">
        <v>5.5</v>
      </c>
      <c r="X425">
        <v>48173.82</v>
      </c>
      <c r="AA425">
        <v>11.49</v>
      </c>
      <c r="AC425">
        <v>9.8101265822784782</v>
      </c>
    </row>
    <row r="426" spans="1:29" x14ac:dyDescent="0.3">
      <c r="A426" t="s">
        <v>439</v>
      </c>
      <c r="B426" t="s">
        <v>1134</v>
      </c>
      <c r="C426" t="s">
        <v>1135</v>
      </c>
      <c r="I426">
        <v>348000</v>
      </c>
      <c r="J426">
        <v>209000</v>
      </c>
      <c r="K426">
        <v>359000</v>
      </c>
      <c r="L426">
        <v>290000</v>
      </c>
      <c r="M426">
        <v>35000</v>
      </c>
      <c r="N426">
        <v>255000</v>
      </c>
      <c r="O426">
        <v>255000</v>
      </c>
      <c r="P426">
        <v>1217.4100000000001</v>
      </c>
      <c r="Q426">
        <v>147.62</v>
      </c>
      <c r="R426">
        <v>35</v>
      </c>
      <c r="S426">
        <v>4</v>
      </c>
      <c r="X426">
        <v>46368.82</v>
      </c>
      <c r="AA426">
        <v>3.03</v>
      </c>
      <c r="AC426">
        <v>26.724137931034491</v>
      </c>
    </row>
    <row r="427" spans="1:29" x14ac:dyDescent="0.3">
      <c r="A427" t="s">
        <v>440</v>
      </c>
      <c r="B427" t="s">
        <v>1136</v>
      </c>
      <c r="C427" t="s">
        <v>1137</v>
      </c>
      <c r="E427">
        <v>87465.17</v>
      </c>
      <c r="F427" t="s">
        <v>846</v>
      </c>
      <c r="G427" t="s">
        <v>690</v>
      </c>
      <c r="I427">
        <v>180500</v>
      </c>
      <c r="J427">
        <v>145000</v>
      </c>
      <c r="K427">
        <v>195000</v>
      </c>
      <c r="L427">
        <v>170500</v>
      </c>
      <c r="M427">
        <v>36103.879999999997</v>
      </c>
      <c r="N427">
        <v>134396.12</v>
      </c>
      <c r="O427">
        <v>137144</v>
      </c>
      <c r="P427">
        <v>664.67</v>
      </c>
      <c r="Q427">
        <v>164.49</v>
      </c>
      <c r="R427">
        <v>35</v>
      </c>
      <c r="S427">
        <v>4.125</v>
      </c>
      <c r="X427">
        <v>31414.799999999999</v>
      </c>
      <c r="AA427">
        <v>10.11</v>
      </c>
      <c r="AC427">
        <v>25.54231578947369</v>
      </c>
    </row>
    <row r="428" spans="1:29" x14ac:dyDescent="0.3">
      <c r="A428" t="s">
        <v>441</v>
      </c>
      <c r="B428" t="s">
        <v>1073</v>
      </c>
      <c r="C428" t="s">
        <v>1138</v>
      </c>
      <c r="I428">
        <v>359000</v>
      </c>
      <c r="J428">
        <v>245000</v>
      </c>
      <c r="K428">
        <v>370000</v>
      </c>
      <c r="L428">
        <v>300000</v>
      </c>
      <c r="M428">
        <v>64000</v>
      </c>
      <c r="N428">
        <v>236000</v>
      </c>
      <c r="O428">
        <v>230000</v>
      </c>
      <c r="P428">
        <v>1234.69</v>
      </c>
      <c r="Q428">
        <v>147.38999999999999</v>
      </c>
      <c r="R428">
        <v>35</v>
      </c>
      <c r="S428">
        <v>5</v>
      </c>
      <c r="X428">
        <v>60537.19</v>
      </c>
      <c r="AA428">
        <v>2.58</v>
      </c>
      <c r="AC428">
        <v>34.261838440111433</v>
      </c>
    </row>
    <row r="429" spans="1:29" x14ac:dyDescent="0.3">
      <c r="A429" t="s">
        <v>443</v>
      </c>
      <c r="B429" t="s">
        <v>1139</v>
      </c>
      <c r="C429" t="s">
        <v>745</v>
      </c>
      <c r="E429">
        <v>61540.480000000003</v>
      </c>
      <c r="F429" t="s">
        <v>735</v>
      </c>
      <c r="G429" t="s">
        <v>690</v>
      </c>
      <c r="I429">
        <v>136500</v>
      </c>
      <c r="J429">
        <v>110500</v>
      </c>
      <c r="K429">
        <v>145500</v>
      </c>
      <c r="L429">
        <v>97000</v>
      </c>
      <c r="M429">
        <v>34000</v>
      </c>
      <c r="N429">
        <v>63000</v>
      </c>
      <c r="P429">
        <v>353</v>
      </c>
      <c r="Q429">
        <v>146.22</v>
      </c>
      <c r="R429">
        <v>35</v>
      </c>
      <c r="X429">
        <v>35680</v>
      </c>
      <c r="AA429">
        <v>9.52</v>
      </c>
      <c r="AC429">
        <v>53.846153846153847</v>
      </c>
    </row>
    <row r="430" spans="1:29" x14ac:dyDescent="0.3">
      <c r="A430" t="s">
        <v>443</v>
      </c>
      <c r="C430" t="s">
        <v>1140</v>
      </c>
      <c r="I430">
        <v>165000</v>
      </c>
      <c r="J430">
        <v>179000</v>
      </c>
      <c r="K430">
        <v>179000</v>
      </c>
      <c r="L430">
        <v>129000</v>
      </c>
      <c r="N430">
        <v>80895.3</v>
      </c>
      <c r="O430">
        <v>80000</v>
      </c>
      <c r="P430">
        <v>423.37</v>
      </c>
      <c r="R430">
        <v>35</v>
      </c>
      <c r="S430">
        <v>4.875</v>
      </c>
      <c r="AC430">
        <v>50.972545454545461</v>
      </c>
    </row>
    <row r="431" spans="1:29" x14ac:dyDescent="0.3">
      <c r="A431" t="s">
        <v>445</v>
      </c>
      <c r="B431" t="s">
        <v>1141</v>
      </c>
      <c r="C431" t="s">
        <v>1142</v>
      </c>
      <c r="I431">
        <v>371400</v>
      </c>
      <c r="J431">
        <v>222000</v>
      </c>
      <c r="K431">
        <v>382000</v>
      </c>
      <c r="L431">
        <v>270000</v>
      </c>
      <c r="M431">
        <v>87000</v>
      </c>
      <c r="N431">
        <v>183000</v>
      </c>
      <c r="O431">
        <v>186600</v>
      </c>
      <c r="P431">
        <v>1239.44</v>
      </c>
      <c r="Q431">
        <v>238.87</v>
      </c>
      <c r="R431">
        <v>35</v>
      </c>
      <c r="S431">
        <v>4.99</v>
      </c>
      <c r="X431">
        <v>57820.29</v>
      </c>
      <c r="AA431">
        <v>1.1100000000000001</v>
      </c>
      <c r="AC431">
        <v>50.726978998384503</v>
      </c>
    </row>
    <row r="432" spans="1:29" x14ac:dyDescent="0.3">
      <c r="A432" t="s">
        <v>446</v>
      </c>
      <c r="B432" t="s">
        <v>1143</v>
      </c>
      <c r="C432" t="s">
        <v>1144</v>
      </c>
      <c r="I432">
        <v>362000</v>
      </c>
      <c r="J432">
        <v>271000</v>
      </c>
      <c r="K432">
        <v>371000</v>
      </c>
      <c r="L432">
        <v>275000</v>
      </c>
      <c r="M432">
        <v>0</v>
      </c>
      <c r="N432">
        <v>275000</v>
      </c>
      <c r="P432">
        <v>0</v>
      </c>
      <c r="Q432">
        <v>234.69</v>
      </c>
      <c r="R432">
        <v>35</v>
      </c>
      <c r="X432">
        <v>18967.68</v>
      </c>
      <c r="AA432">
        <v>0.78</v>
      </c>
      <c r="AC432">
        <v>24.033149171270718</v>
      </c>
    </row>
    <row r="433" spans="1:36" x14ac:dyDescent="0.3">
      <c r="A433" t="s">
        <v>448</v>
      </c>
      <c r="B433" t="s">
        <v>1145</v>
      </c>
      <c r="C433" t="s">
        <v>1146</v>
      </c>
      <c r="E433">
        <v>70000</v>
      </c>
      <c r="F433" t="s">
        <v>1147</v>
      </c>
      <c r="G433" t="s">
        <v>690</v>
      </c>
      <c r="I433">
        <v>250000</v>
      </c>
      <c r="J433">
        <v>204000</v>
      </c>
      <c r="K433">
        <v>264000</v>
      </c>
      <c r="L433">
        <v>194000</v>
      </c>
      <c r="M433">
        <v>59359.63</v>
      </c>
      <c r="N433">
        <v>134640.37</v>
      </c>
      <c r="O433">
        <v>136355</v>
      </c>
      <c r="P433">
        <v>792.66</v>
      </c>
      <c r="Q433">
        <v>116.9</v>
      </c>
      <c r="R433">
        <v>35</v>
      </c>
      <c r="S433">
        <v>5.875</v>
      </c>
      <c r="X433">
        <v>34165.120000000003</v>
      </c>
      <c r="AA433">
        <v>17.899999999999999</v>
      </c>
      <c r="AC433">
        <v>46.143852000000003</v>
      </c>
    </row>
    <row r="434" spans="1:36" x14ac:dyDescent="0.3">
      <c r="A434" t="s">
        <v>450</v>
      </c>
      <c r="B434" t="s">
        <v>848</v>
      </c>
      <c r="C434" t="s">
        <v>970</v>
      </c>
      <c r="I434">
        <v>410000</v>
      </c>
      <c r="J434">
        <v>320000</v>
      </c>
      <c r="K434">
        <v>420000</v>
      </c>
      <c r="L434">
        <v>270000</v>
      </c>
      <c r="M434">
        <v>35000</v>
      </c>
      <c r="N434">
        <v>235000</v>
      </c>
      <c r="O434">
        <v>233500</v>
      </c>
      <c r="P434">
        <v>1307.53</v>
      </c>
      <c r="Q434">
        <v>290.02</v>
      </c>
      <c r="R434">
        <v>35</v>
      </c>
      <c r="S434">
        <v>5.375</v>
      </c>
      <c r="X434">
        <v>78055.990000000005</v>
      </c>
      <c r="AA434">
        <v>0.9</v>
      </c>
      <c r="AC434">
        <v>42.682926829268297</v>
      </c>
    </row>
    <row r="435" spans="1:36" x14ac:dyDescent="0.3">
      <c r="A435" t="s">
        <v>451</v>
      </c>
      <c r="B435" t="s">
        <v>981</v>
      </c>
      <c r="C435" t="s">
        <v>1148</v>
      </c>
      <c r="E435">
        <v>85350.18</v>
      </c>
      <c r="F435" t="s">
        <v>872</v>
      </c>
      <c r="G435" t="s">
        <v>690</v>
      </c>
      <c r="I435">
        <v>171000</v>
      </c>
      <c r="J435">
        <v>184000</v>
      </c>
      <c r="K435">
        <v>184000</v>
      </c>
      <c r="L435">
        <v>148000</v>
      </c>
      <c r="M435">
        <v>18000</v>
      </c>
      <c r="N435">
        <v>130000</v>
      </c>
      <c r="O435">
        <v>128945</v>
      </c>
      <c r="P435">
        <v>643.79999999999995</v>
      </c>
      <c r="Q435">
        <v>118.63</v>
      </c>
      <c r="R435">
        <v>35</v>
      </c>
      <c r="S435">
        <v>4.375</v>
      </c>
      <c r="X435">
        <v>34400.839999999997</v>
      </c>
      <c r="AA435">
        <v>5.07</v>
      </c>
      <c r="AC435">
        <v>23.976608187134509</v>
      </c>
    </row>
    <row r="436" spans="1:36" x14ac:dyDescent="0.3">
      <c r="A436" t="s">
        <v>451</v>
      </c>
      <c r="C436" t="s">
        <v>1149</v>
      </c>
      <c r="I436">
        <v>249000</v>
      </c>
      <c r="J436">
        <v>0</v>
      </c>
      <c r="K436">
        <v>270000</v>
      </c>
      <c r="L436">
        <v>215000</v>
      </c>
      <c r="N436">
        <v>193000</v>
      </c>
      <c r="O436">
        <v>193000</v>
      </c>
      <c r="P436">
        <v>839.95</v>
      </c>
      <c r="R436">
        <v>35</v>
      </c>
      <c r="S436">
        <v>3.25</v>
      </c>
      <c r="AC436">
        <v>22.489959839357429</v>
      </c>
    </row>
    <row r="437" spans="1:36" x14ac:dyDescent="0.3">
      <c r="A437" t="s">
        <v>452</v>
      </c>
      <c r="B437" t="s">
        <v>1150</v>
      </c>
      <c r="C437" t="s">
        <v>1151</v>
      </c>
      <c r="I437">
        <v>357900</v>
      </c>
      <c r="J437">
        <v>297000</v>
      </c>
      <c r="K437">
        <v>367000</v>
      </c>
      <c r="L437">
        <v>275000</v>
      </c>
      <c r="M437">
        <v>65000</v>
      </c>
      <c r="N437">
        <v>210000</v>
      </c>
      <c r="O437">
        <v>195500</v>
      </c>
      <c r="P437">
        <v>1110.03</v>
      </c>
      <c r="Q437">
        <v>190.33</v>
      </c>
      <c r="R437">
        <v>35</v>
      </c>
      <c r="S437">
        <v>5.5</v>
      </c>
      <c r="X437">
        <v>49988.89</v>
      </c>
      <c r="AA437">
        <v>0.6</v>
      </c>
      <c r="AC437">
        <v>41.324392288348697</v>
      </c>
    </row>
    <row r="438" spans="1:36" x14ac:dyDescent="0.3">
      <c r="A438" t="s">
        <v>453</v>
      </c>
      <c r="B438" t="s">
        <v>1152</v>
      </c>
      <c r="C438" t="s">
        <v>1153</v>
      </c>
      <c r="I438">
        <v>338000</v>
      </c>
      <c r="J438">
        <v>198000</v>
      </c>
      <c r="K438">
        <v>348000</v>
      </c>
      <c r="L438">
        <v>260000</v>
      </c>
      <c r="M438">
        <v>85000</v>
      </c>
      <c r="N438">
        <v>175000</v>
      </c>
      <c r="O438">
        <v>174000</v>
      </c>
      <c r="P438">
        <v>1001.64</v>
      </c>
      <c r="Q438">
        <v>164.77</v>
      </c>
      <c r="R438">
        <v>35</v>
      </c>
      <c r="S438">
        <v>5.625</v>
      </c>
      <c r="X438">
        <v>51214</v>
      </c>
      <c r="AA438">
        <v>1.57</v>
      </c>
      <c r="AC438">
        <v>48.22485207100592</v>
      </c>
    </row>
    <row r="439" spans="1:36" x14ac:dyDescent="0.3">
      <c r="A439" t="s">
        <v>454</v>
      </c>
      <c r="B439" t="s">
        <v>1154</v>
      </c>
      <c r="C439" t="s">
        <v>877</v>
      </c>
      <c r="I439">
        <v>372000</v>
      </c>
      <c r="J439">
        <v>-232000</v>
      </c>
      <c r="K439">
        <v>150000</v>
      </c>
      <c r="L439">
        <v>300000</v>
      </c>
      <c r="M439">
        <v>35000</v>
      </c>
      <c r="N439">
        <v>265000</v>
      </c>
      <c r="O439">
        <v>263000</v>
      </c>
      <c r="P439">
        <v>1472.72</v>
      </c>
      <c r="Q439">
        <v>188.5</v>
      </c>
      <c r="R439">
        <v>35</v>
      </c>
      <c r="S439">
        <v>5.375</v>
      </c>
      <c r="X439">
        <v>55432.37</v>
      </c>
      <c r="AA439">
        <v>1.78</v>
      </c>
      <c r="AC439">
        <v>28.763440860215049</v>
      </c>
    </row>
    <row r="440" spans="1:36" x14ac:dyDescent="0.3">
      <c r="A440" t="s">
        <v>455</v>
      </c>
      <c r="B440" t="s">
        <v>1155</v>
      </c>
      <c r="C440" t="s">
        <v>1156</v>
      </c>
      <c r="E440">
        <v>81074.399999999994</v>
      </c>
      <c r="F440" t="s">
        <v>701</v>
      </c>
      <c r="G440" t="s">
        <v>690</v>
      </c>
      <c r="I440">
        <v>178800</v>
      </c>
      <c r="J440">
        <v>142000</v>
      </c>
      <c r="K440">
        <v>190000</v>
      </c>
      <c r="L440">
        <v>148150</v>
      </c>
      <c r="M440">
        <v>39352.960000000006</v>
      </c>
      <c r="N440">
        <v>108797.04</v>
      </c>
      <c r="O440">
        <v>110100</v>
      </c>
      <c r="P440">
        <v>582.66</v>
      </c>
      <c r="Q440">
        <v>148.33000000000001</v>
      </c>
      <c r="R440">
        <v>35</v>
      </c>
      <c r="S440">
        <v>4.875</v>
      </c>
      <c r="X440">
        <v>30000.02</v>
      </c>
      <c r="AA440">
        <v>12.06</v>
      </c>
      <c r="AC440">
        <v>39.151543624161079</v>
      </c>
    </row>
    <row r="441" spans="1:36" x14ac:dyDescent="0.3">
      <c r="A441" t="s">
        <v>456</v>
      </c>
      <c r="B441" t="s">
        <v>1157</v>
      </c>
      <c r="C441" t="s">
        <v>1158</v>
      </c>
      <c r="D441">
        <v>0</v>
      </c>
      <c r="E441">
        <v>0</v>
      </c>
      <c r="H441">
        <v>0</v>
      </c>
      <c r="I441">
        <v>303400</v>
      </c>
      <c r="J441">
        <v>301000</v>
      </c>
      <c r="K441">
        <v>302000</v>
      </c>
      <c r="L441">
        <v>300229</v>
      </c>
      <c r="M441">
        <v>0</v>
      </c>
      <c r="N441">
        <v>300229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X441">
        <v>0</v>
      </c>
      <c r="Y441">
        <v>0</v>
      </c>
      <c r="AA441">
        <v>0</v>
      </c>
      <c r="AB441">
        <v>0</v>
      </c>
      <c r="AC441">
        <v>0</v>
      </c>
      <c r="AE441">
        <v>0</v>
      </c>
      <c r="AF441">
        <v>0</v>
      </c>
      <c r="AI441">
        <v>0</v>
      </c>
      <c r="AJ44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D67B-E72D-4F02-A257-334EE652A613}">
  <dimension ref="A1:B437"/>
  <sheetViews>
    <sheetView topLeftCell="A371" workbookViewId="0">
      <selection activeCell="B365" sqref="B1:B1048576"/>
    </sheetView>
  </sheetViews>
  <sheetFormatPr defaultRowHeight="14.4" x14ac:dyDescent="0.3"/>
  <sheetData>
    <row r="1" spans="1:2" x14ac:dyDescent="0.3">
      <c r="A1" s="1" t="s">
        <v>458</v>
      </c>
      <c r="B1" t="s">
        <v>484</v>
      </c>
    </row>
    <row r="2" spans="1:2" x14ac:dyDescent="0.3">
      <c r="A2">
        <v>42122</v>
      </c>
      <c r="B2">
        <v>21.25984251968503</v>
      </c>
    </row>
    <row r="3" spans="1:2" x14ac:dyDescent="0.3">
      <c r="A3" t="s">
        <v>754</v>
      </c>
      <c r="B3">
        <v>22.858169642857138</v>
      </c>
    </row>
    <row r="4" spans="1:2" x14ac:dyDescent="0.3">
      <c r="A4" t="s">
        <v>734</v>
      </c>
      <c r="B4">
        <v>19.78267857142858</v>
      </c>
    </row>
    <row r="5" spans="1:2" x14ac:dyDescent="0.3">
      <c r="A5" t="s">
        <v>779</v>
      </c>
      <c r="B5">
        <v>38.312895104895112</v>
      </c>
    </row>
    <row r="6" spans="1:2" x14ac:dyDescent="0.3">
      <c r="A6" t="s">
        <v>875</v>
      </c>
      <c r="B6">
        <v>49.076130007558582</v>
      </c>
    </row>
    <row r="7" spans="1:2" x14ac:dyDescent="0.3">
      <c r="A7" t="s">
        <v>811</v>
      </c>
      <c r="B7">
        <v>18.181560000000001</v>
      </c>
    </row>
    <row r="8" spans="1:2" x14ac:dyDescent="0.3">
      <c r="A8" t="s">
        <v>889</v>
      </c>
      <c r="B8">
        <v>42.242601562500013</v>
      </c>
    </row>
    <row r="9" spans="1:2" x14ac:dyDescent="0.3">
      <c r="A9" t="s">
        <v>745</v>
      </c>
      <c r="B9">
        <v>47.683731034482747</v>
      </c>
    </row>
    <row r="10" spans="1:2" x14ac:dyDescent="0.3">
      <c r="A10" t="s">
        <v>745</v>
      </c>
      <c r="B10">
        <v>53.846153846153847</v>
      </c>
    </row>
    <row r="11" spans="1:2" x14ac:dyDescent="0.3">
      <c r="A11" t="s">
        <v>914</v>
      </c>
      <c r="B11">
        <v>41.7186076923077</v>
      </c>
    </row>
    <row r="12" spans="1:2" x14ac:dyDescent="0.3">
      <c r="A12" t="s">
        <v>777</v>
      </c>
      <c r="B12">
        <v>33.487324999999998</v>
      </c>
    </row>
    <row r="13" spans="1:2" x14ac:dyDescent="0.3">
      <c r="A13" t="s">
        <v>819</v>
      </c>
      <c r="B13">
        <v>47.773170542635647</v>
      </c>
    </row>
    <row r="14" spans="1:2" x14ac:dyDescent="0.3">
      <c r="A14" t="s">
        <v>919</v>
      </c>
      <c r="B14">
        <v>41.974130952380953</v>
      </c>
    </row>
    <row r="15" spans="1:2" x14ac:dyDescent="0.3">
      <c r="A15" t="s">
        <v>940</v>
      </c>
      <c r="B15">
        <v>37.36071428571428</v>
      </c>
    </row>
    <row r="16" spans="1:2" x14ac:dyDescent="0.3">
      <c r="A16" t="s">
        <v>699</v>
      </c>
      <c r="B16">
        <v>47.058823529411761</v>
      </c>
    </row>
    <row r="17" spans="1:2" x14ac:dyDescent="0.3">
      <c r="A17" t="s">
        <v>1029</v>
      </c>
      <c r="B17">
        <v>47.543320000000001</v>
      </c>
    </row>
    <row r="18" spans="1:2" x14ac:dyDescent="0.3">
      <c r="A18" t="s">
        <v>504</v>
      </c>
      <c r="B18">
        <v>15.300546448087429</v>
      </c>
    </row>
    <row r="19" spans="1:2" x14ac:dyDescent="0.3">
      <c r="A19" t="s">
        <v>493</v>
      </c>
    </row>
    <row r="20" spans="1:2" x14ac:dyDescent="0.3">
      <c r="A20" t="s">
        <v>497</v>
      </c>
    </row>
    <row r="21" spans="1:2" x14ac:dyDescent="0.3">
      <c r="A21" t="s">
        <v>492</v>
      </c>
    </row>
    <row r="22" spans="1:2" x14ac:dyDescent="0.3">
      <c r="A22" t="s">
        <v>977</v>
      </c>
      <c r="B22">
        <v>50.731423076923079</v>
      </c>
    </row>
    <row r="23" spans="1:2" x14ac:dyDescent="0.3">
      <c r="A23" t="s">
        <v>710</v>
      </c>
      <c r="B23">
        <v>52.074973913043479</v>
      </c>
    </row>
    <row r="24" spans="1:2" x14ac:dyDescent="0.3">
      <c r="A24" t="s">
        <v>763</v>
      </c>
      <c r="B24">
        <v>66.761575510204068</v>
      </c>
    </row>
    <row r="25" spans="1:2" x14ac:dyDescent="0.3">
      <c r="A25" t="s">
        <v>763</v>
      </c>
      <c r="B25">
        <v>51.203821656050948</v>
      </c>
    </row>
    <row r="26" spans="1:2" x14ac:dyDescent="0.3">
      <c r="A26" t="s">
        <v>500</v>
      </c>
    </row>
    <row r="27" spans="1:2" x14ac:dyDescent="0.3">
      <c r="A27" t="s">
        <v>728</v>
      </c>
      <c r="B27">
        <v>59.458360465116279</v>
      </c>
    </row>
    <row r="28" spans="1:2" x14ac:dyDescent="0.3">
      <c r="A28" t="s">
        <v>731</v>
      </c>
      <c r="B28">
        <v>62.821550000000002</v>
      </c>
    </row>
    <row r="29" spans="1:2" x14ac:dyDescent="0.3">
      <c r="A29" t="s">
        <v>503</v>
      </c>
      <c r="B29">
        <v>0</v>
      </c>
    </row>
    <row r="30" spans="1:2" x14ac:dyDescent="0.3">
      <c r="A30" t="s">
        <v>732</v>
      </c>
      <c r="B30">
        <v>59.884450000000001</v>
      </c>
    </row>
    <row r="31" spans="1:2" x14ac:dyDescent="0.3">
      <c r="A31" t="s">
        <v>938</v>
      </c>
      <c r="B31">
        <v>47.065747899159661</v>
      </c>
    </row>
    <row r="32" spans="1:2" x14ac:dyDescent="0.3">
      <c r="A32" t="s">
        <v>1019</v>
      </c>
    </row>
    <row r="33" spans="1:2" x14ac:dyDescent="0.3">
      <c r="A33" t="s">
        <v>887</v>
      </c>
      <c r="B33">
        <v>63.125</v>
      </c>
    </row>
    <row r="34" spans="1:2" x14ac:dyDescent="0.3">
      <c r="A34" t="s">
        <v>808</v>
      </c>
      <c r="B34">
        <v>56.717791411042938</v>
      </c>
    </row>
    <row r="35" spans="1:2" x14ac:dyDescent="0.3">
      <c r="A35" t="s">
        <v>897</v>
      </c>
      <c r="B35">
        <v>50.802300000000002</v>
      </c>
    </row>
    <row r="36" spans="1:2" x14ac:dyDescent="0.3">
      <c r="A36" t="s">
        <v>507</v>
      </c>
      <c r="B36">
        <v>0</v>
      </c>
    </row>
    <row r="37" spans="1:2" x14ac:dyDescent="0.3">
      <c r="A37" t="s">
        <v>1065</v>
      </c>
    </row>
    <row r="38" spans="1:2" x14ac:dyDescent="0.3">
      <c r="A38" t="s">
        <v>736</v>
      </c>
    </row>
    <row r="39" spans="1:2" x14ac:dyDescent="0.3">
      <c r="A39" t="s">
        <v>705</v>
      </c>
      <c r="B39">
        <v>18.787749999999999</v>
      </c>
    </row>
    <row r="40" spans="1:2" x14ac:dyDescent="0.3">
      <c r="A40" t="s">
        <v>498</v>
      </c>
      <c r="B40">
        <v>0</v>
      </c>
    </row>
    <row r="41" spans="1:2" x14ac:dyDescent="0.3">
      <c r="A41" t="s">
        <v>1039</v>
      </c>
      <c r="B41">
        <v>42.792839130434778</v>
      </c>
    </row>
    <row r="42" spans="1:2" x14ac:dyDescent="0.3">
      <c r="A42" t="s">
        <v>737</v>
      </c>
      <c r="B42">
        <v>43.617693023255811</v>
      </c>
    </row>
    <row r="43" spans="1:2" x14ac:dyDescent="0.3">
      <c r="A43" t="s">
        <v>693</v>
      </c>
      <c r="B43">
        <v>5.5768250000000066</v>
      </c>
    </row>
    <row r="44" spans="1:2" x14ac:dyDescent="0.3">
      <c r="A44" t="s">
        <v>1146</v>
      </c>
      <c r="B44">
        <v>46.143852000000003</v>
      </c>
    </row>
    <row r="45" spans="1:2" x14ac:dyDescent="0.3">
      <c r="A45" t="s">
        <v>817</v>
      </c>
      <c r="B45">
        <v>60.029599999999988</v>
      </c>
    </row>
    <row r="46" spans="1:2" x14ac:dyDescent="0.3">
      <c r="A46" t="s">
        <v>921</v>
      </c>
      <c r="B46">
        <v>57.737358208955229</v>
      </c>
    </row>
    <row r="47" spans="1:2" x14ac:dyDescent="0.3">
      <c r="A47" t="s">
        <v>510</v>
      </c>
      <c r="B47">
        <v>0</v>
      </c>
    </row>
    <row r="48" spans="1:2" x14ac:dyDescent="0.3">
      <c r="A48" t="s">
        <v>767</v>
      </c>
      <c r="B48">
        <v>22.3534935064935</v>
      </c>
    </row>
    <row r="49" spans="1:2" x14ac:dyDescent="0.3">
      <c r="A49" t="s">
        <v>948</v>
      </c>
      <c r="B49">
        <v>50.223094999999986</v>
      </c>
    </row>
    <row r="50" spans="1:2" x14ac:dyDescent="0.3">
      <c r="A50" t="s">
        <v>935</v>
      </c>
      <c r="B50">
        <v>50.484376470588231</v>
      </c>
    </row>
    <row r="51" spans="1:2" x14ac:dyDescent="0.3">
      <c r="A51" t="s">
        <v>1058</v>
      </c>
      <c r="B51">
        <v>47.196175531914903</v>
      </c>
    </row>
    <row r="52" spans="1:2" x14ac:dyDescent="0.3">
      <c r="A52" t="s">
        <v>984</v>
      </c>
      <c r="B52">
        <v>39.03448275862069</v>
      </c>
    </row>
    <row r="53" spans="1:2" x14ac:dyDescent="0.3">
      <c r="A53" t="s">
        <v>929</v>
      </c>
      <c r="B53">
        <v>34.656084296397019</v>
      </c>
    </row>
    <row r="54" spans="1:2" x14ac:dyDescent="0.3">
      <c r="A54" t="s">
        <v>988</v>
      </c>
      <c r="B54">
        <v>16.07152768936982</v>
      </c>
    </row>
    <row r="55" spans="1:2" x14ac:dyDescent="0.3">
      <c r="A55" t="s">
        <v>1005</v>
      </c>
      <c r="B55">
        <v>14.960377777777779</v>
      </c>
    </row>
    <row r="56" spans="1:2" x14ac:dyDescent="0.3">
      <c r="A56" t="s">
        <v>516</v>
      </c>
      <c r="B56">
        <v>0</v>
      </c>
    </row>
    <row r="57" spans="1:2" x14ac:dyDescent="0.3">
      <c r="A57" t="s">
        <v>1082</v>
      </c>
      <c r="B57">
        <v>34.782608695652172</v>
      </c>
    </row>
    <row r="58" spans="1:2" x14ac:dyDescent="0.3">
      <c r="A58" t="s">
        <v>1002</v>
      </c>
      <c r="B58">
        <v>18.384341666666671</v>
      </c>
    </row>
    <row r="59" spans="1:2" x14ac:dyDescent="0.3">
      <c r="A59" t="s">
        <v>1087</v>
      </c>
      <c r="B59">
        <v>30.187000000000008</v>
      </c>
    </row>
    <row r="60" spans="1:2" x14ac:dyDescent="0.3">
      <c r="A60" t="s">
        <v>714</v>
      </c>
      <c r="B60">
        <v>39.852869565217389</v>
      </c>
    </row>
    <row r="61" spans="1:2" x14ac:dyDescent="0.3">
      <c r="A61" t="s">
        <v>917</v>
      </c>
      <c r="B61">
        <v>37.694189024390248</v>
      </c>
    </row>
    <row r="62" spans="1:2" x14ac:dyDescent="0.3">
      <c r="A62" t="s">
        <v>865</v>
      </c>
      <c r="B62">
        <v>19.459532894736839</v>
      </c>
    </row>
    <row r="63" spans="1:2" x14ac:dyDescent="0.3">
      <c r="A63" t="s">
        <v>501</v>
      </c>
      <c r="B63">
        <v>8.2278481012658222</v>
      </c>
    </row>
    <row r="64" spans="1:2" x14ac:dyDescent="0.3">
      <c r="A64" t="s">
        <v>867</v>
      </c>
      <c r="B64">
        <v>37.259465909090913</v>
      </c>
    </row>
    <row r="65" spans="1:2" x14ac:dyDescent="0.3">
      <c r="A65" t="s">
        <v>1008</v>
      </c>
      <c r="B65">
        <v>15.38461538461539</v>
      </c>
    </row>
    <row r="66" spans="1:2" x14ac:dyDescent="0.3">
      <c r="A66" t="s">
        <v>1008</v>
      </c>
      <c r="B66">
        <v>37.954619512195123</v>
      </c>
    </row>
    <row r="67" spans="1:2" x14ac:dyDescent="0.3">
      <c r="A67" t="s">
        <v>707</v>
      </c>
    </row>
    <row r="68" spans="1:2" x14ac:dyDescent="0.3">
      <c r="A68" t="s">
        <v>1108</v>
      </c>
      <c r="B68">
        <v>36.929333333333332</v>
      </c>
    </row>
    <row r="69" spans="1:2" x14ac:dyDescent="0.3">
      <c r="A69" t="s">
        <v>1016</v>
      </c>
      <c r="B69">
        <v>25.003523364485979</v>
      </c>
    </row>
    <row r="70" spans="1:2" x14ac:dyDescent="0.3">
      <c r="A70" t="s">
        <v>807</v>
      </c>
      <c r="B70">
        <v>5.1475285714285723</v>
      </c>
    </row>
    <row r="71" spans="1:2" x14ac:dyDescent="0.3">
      <c r="A71" t="s">
        <v>807</v>
      </c>
      <c r="B71">
        <v>48.090913043478267</v>
      </c>
    </row>
    <row r="72" spans="1:2" x14ac:dyDescent="0.3">
      <c r="A72" t="s">
        <v>1116</v>
      </c>
      <c r="B72">
        <v>20.068459259259249</v>
      </c>
    </row>
    <row r="73" spans="1:2" x14ac:dyDescent="0.3">
      <c r="A73" t="s">
        <v>746</v>
      </c>
    </row>
    <row r="74" spans="1:2" x14ac:dyDescent="0.3">
      <c r="A74" t="s">
        <v>655</v>
      </c>
      <c r="B74">
        <v>44.11532258064517</v>
      </c>
    </row>
    <row r="75" spans="1:2" x14ac:dyDescent="0.3">
      <c r="A75" t="s">
        <v>1024</v>
      </c>
      <c r="B75">
        <v>49.484137931034468</v>
      </c>
    </row>
    <row r="76" spans="1:2" x14ac:dyDescent="0.3">
      <c r="A76" t="s">
        <v>534</v>
      </c>
      <c r="B76">
        <v>0</v>
      </c>
    </row>
    <row r="77" spans="1:2" x14ac:dyDescent="0.3">
      <c r="A77" t="s">
        <v>912</v>
      </c>
      <c r="B77">
        <v>19.474722807017539</v>
      </c>
    </row>
    <row r="78" spans="1:2" x14ac:dyDescent="0.3">
      <c r="A78" t="s">
        <v>612</v>
      </c>
      <c r="B78">
        <v>59.860119047619051</v>
      </c>
    </row>
    <row r="79" spans="1:2" x14ac:dyDescent="0.3">
      <c r="A79" t="s">
        <v>612</v>
      </c>
      <c r="B79">
        <v>59.860119047619051</v>
      </c>
    </row>
    <row r="80" spans="1:2" x14ac:dyDescent="0.3">
      <c r="A80" t="s">
        <v>814</v>
      </c>
    </row>
    <row r="81" spans="1:2" x14ac:dyDescent="0.3">
      <c r="A81" t="s">
        <v>881</v>
      </c>
      <c r="B81">
        <v>42.407661290322586</v>
      </c>
    </row>
    <row r="82" spans="1:2" x14ac:dyDescent="0.3">
      <c r="A82" t="s">
        <v>1075</v>
      </c>
      <c r="B82">
        <v>39.694984496124029</v>
      </c>
    </row>
    <row r="83" spans="1:2" x14ac:dyDescent="0.3">
      <c r="A83" t="s">
        <v>640</v>
      </c>
      <c r="B83">
        <v>19.527896995708151</v>
      </c>
    </row>
    <row r="84" spans="1:2" x14ac:dyDescent="0.3">
      <c r="A84" t="s">
        <v>683</v>
      </c>
      <c r="B84">
        <v>32.975000000000001</v>
      </c>
    </row>
    <row r="85" spans="1:2" x14ac:dyDescent="0.3">
      <c r="A85" t="s">
        <v>680</v>
      </c>
      <c r="B85">
        <v>15.38461538461539</v>
      </c>
    </row>
    <row r="86" spans="1:2" x14ac:dyDescent="0.3">
      <c r="A86" t="s">
        <v>599</v>
      </c>
      <c r="B86">
        <v>36.170212765957437</v>
      </c>
    </row>
    <row r="87" spans="1:2" x14ac:dyDescent="0.3">
      <c r="A87" t="s">
        <v>599</v>
      </c>
      <c r="B87">
        <v>36.170212765957437</v>
      </c>
    </row>
    <row r="88" spans="1:2" x14ac:dyDescent="0.3">
      <c r="A88" t="s">
        <v>556</v>
      </c>
      <c r="B88">
        <v>14.28571428571429</v>
      </c>
    </row>
    <row r="89" spans="1:2" x14ac:dyDescent="0.3">
      <c r="A89" t="s">
        <v>671</v>
      </c>
      <c r="B89">
        <v>14.28571428571429</v>
      </c>
    </row>
    <row r="90" spans="1:2" x14ac:dyDescent="0.3">
      <c r="A90" t="s">
        <v>608</v>
      </c>
      <c r="B90">
        <v>13.04347826086957</v>
      </c>
    </row>
    <row r="91" spans="1:2" x14ac:dyDescent="0.3">
      <c r="A91" t="s">
        <v>554</v>
      </c>
      <c r="B91">
        <v>18.478260869565219</v>
      </c>
    </row>
    <row r="92" spans="1:2" x14ac:dyDescent="0.3">
      <c r="A92" t="s">
        <v>670</v>
      </c>
      <c r="B92">
        <v>28.042328042328041</v>
      </c>
    </row>
    <row r="93" spans="1:2" x14ac:dyDescent="0.3">
      <c r="A93" t="s">
        <v>679</v>
      </c>
      <c r="B93">
        <v>21.428571428571431</v>
      </c>
    </row>
    <row r="94" spans="1:2" x14ac:dyDescent="0.3">
      <c r="A94" t="s">
        <v>630</v>
      </c>
      <c r="B94">
        <v>12.820512820512819</v>
      </c>
    </row>
    <row r="95" spans="1:2" x14ac:dyDescent="0.3">
      <c r="A95" t="s">
        <v>573</v>
      </c>
      <c r="B95">
        <v>36.734693877551017</v>
      </c>
    </row>
    <row r="96" spans="1:2" x14ac:dyDescent="0.3">
      <c r="A96" t="s">
        <v>564</v>
      </c>
      <c r="B96">
        <v>31.81818181818182</v>
      </c>
    </row>
    <row r="97" spans="1:2" x14ac:dyDescent="0.3">
      <c r="A97" t="s">
        <v>1003</v>
      </c>
      <c r="B97">
        <v>17.291460000000001</v>
      </c>
    </row>
    <row r="98" spans="1:2" x14ac:dyDescent="0.3">
      <c r="A98" t="s">
        <v>619</v>
      </c>
      <c r="B98">
        <v>31.81818181818182</v>
      </c>
    </row>
    <row r="99" spans="1:2" x14ac:dyDescent="0.3">
      <c r="A99" t="s">
        <v>607</v>
      </c>
      <c r="B99">
        <v>41.17647058823529</v>
      </c>
    </row>
    <row r="100" spans="1:2" x14ac:dyDescent="0.3">
      <c r="A100" t="s">
        <v>569</v>
      </c>
      <c r="B100">
        <v>22.61904761904762</v>
      </c>
    </row>
    <row r="101" spans="1:2" x14ac:dyDescent="0.3">
      <c r="A101" t="s">
        <v>1031</v>
      </c>
      <c r="B101">
        <v>7.290015847860543</v>
      </c>
    </row>
    <row r="102" spans="1:2" x14ac:dyDescent="0.3">
      <c r="A102" t="s">
        <v>833</v>
      </c>
      <c r="B102">
        <v>40.800006289308179</v>
      </c>
    </row>
    <row r="103" spans="1:2" x14ac:dyDescent="0.3">
      <c r="A103" t="s">
        <v>804</v>
      </c>
      <c r="B103">
        <v>5.6780487804878099</v>
      </c>
    </row>
    <row r="104" spans="1:2" x14ac:dyDescent="0.3">
      <c r="A104" t="s">
        <v>905</v>
      </c>
      <c r="B104">
        <v>15.328467153284681</v>
      </c>
    </row>
    <row r="105" spans="1:2" x14ac:dyDescent="0.3">
      <c r="A105" t="s">
        <v>854</v>
      </c>
      <c r="B105">
        <v>26.935239436619721</v>
      </c>
    </row>
    <row r="106" spans="1:2" x14ac:dyDescent="0.3">
      <c r="A106" t="s">
        <v>854</v>
      </c>
      <c r="B106">
        <v>46.013216981132082</v>
      </c>
    </row>
    <row r="107" spans="1:2" x14ac:dyDescent="0.3">
      <c r="A107" t="s">
        <v>993</v>
      </c>
      <c r="B107">
        <v>12.8</v>
      </c>
    </row>
    <row r="108" spans="1:2" x14ac:dyDescent="0.3">
      <c r="A108" t="s">
        <v>575</v>
      </c>
      <c r="B108">
        <v>28.79524976529256</v>
      </c>
    </row>
    <row r="109" spans="1:2" x14ac:dyDescent="0.3">
      <c r="A109" t="s">
        <v>1037</v>
      </c>
      <c r="B109">
        <v>19.503355555555562</v>
      </c>
    </row>
    <row r="110" spans="1:2" x14ac:dyDescent="0.3">
      <c r="A110" t="s">
        <v>860</v>
      </c>
      <c r="B110">
        <v>14.94078858298756</v>
      </c>
    </row>
    <row r="111" spans="1:2" x14ac:dyDescent="0.3">
      <c r="A111" t="s">
        <v>1046</v>
      </c>
      <c r="B111">
        <v>16.339165048543691</v>
      </c>
    </row>
    <row r="112" spans="1:2" x14ac:dyDescent="0.3">
      <c r="A112" t="s">
        <v>593</v>
      </c>
      <c r="B112">
        <v>32.698412698412703</v>
      </c>
    </row>
    <row r="113" spans="1:2" x14ac:dyDescent="0.3">
      <c r="A113" t="s">
        <v>879</v>
      </c>
      <c r="B113">
        <v>18.040703389830501</v>
      </c>
    </row>
    <row r="114" spans="1:2" x14ac:dyDescent="0.3">
      <c r="A114" t="s">
        <v>656</v>
      </c>
      <c r="B114">
        <v>28.888888888888889</v>
      </c>
    </row>
    <row r="115" spans="1:2" x14ac:dyDescent="0.3">
      <c r="A115" t="s">
        <v>606</v>
      </c>
      <c r="B115">
        <v>27.441860465116271</v>
      </c>
    </row>
    <row r="116" spans="1:2" x14ac:dyDescent="0.3">
      <c r="A116" t="s">
        <v>570</v>
      </c>
      <c r="B116">
        <v>27.27272727272727</v>
      </c>
    </row>
    <row r="117" spans="1:2" x14ac:dyDescent="0.3">
      <c r="A117" t="s">
        <v>570</v>
      </c>
      <c r="B117">
        <v>44.444444444444443</v>
      </c>
    </row>
    <row r="118" spans="1:2" x14ac:dyDescent="0.3">
      <c r="A118" t="s">
        <v>1100</v>
      </c>
      <c r="B118">
        <v>18.845017793594309</v>
      </c>
    </row>
    <row r="119" spans="1:2" x14ac:dyDescent="0.3">
      <c r="A119" t="s">
        <v>544</v>
      </c>
      <c r="B119">
        <v>28.888888888888889</v>
      </c>
    </row>
    <row r="120" spans="1:2" x14ac:dyDescent="0.3">
      <c r="A120" t="s">
        <v>658</v>
      </c>
      <c r="B120">
        <v>26.551724137931028</v>
      </c>
    </row>
    <row r="121" spans="1:2" x14ac:dyDescent="0.3">
      <c r="A121" t="s">
        <v>547</v>
      </c>
      <c r="B121">
        <v>27.676767676767678</v>
      </c>
    </row>
    <row r="122" spans="1:2" x14ac:dyDescent="0.3">
      <c r="A122" t="s">
        <v>626</v>
      </c>
      <c r="B122">
        <v>30.34013605442177</v>
      </c>
    </row>
    <row r="123" spans="1:2" x14ac:dyDescent="0.3">
      <c r="A123" t="s">
        <v>626</v>
      </c>
      <c r="B123">
        <v>29.5</v>
      </c>
    </row>
    <row r="124" spans="1:2" x14ac:dyDescent="0.3">
      <c r="A124" t="s">
        <v>648</v>
      </c>
      <c r="B124">
        <v>28.941176470588239</v>
      </c>
    </row>
    <row r="125" spans="1:2" x14ac:dyDescent="0.3">
      <c r="A125" t="s">
        <v>590</v>
      </c>
      <c r="B125">
        <v>26.725663716814161</v>
      </c>
    </row>
    <row r="126" spans="1:2" x14ac:dyDescent="0.3">
      <c r="A126" t="s">
        <v>1078</v>
      </c>
      <c r="B126">
        <v>23.88850931677019</v>
      </c>
    </row>
    <row r="127" spans="1:2" x14ac:dyDescent="0.3">
      <c r="A127" t="s">
        <v>644</v>
      </c>
      <c r="B127">
        <v>29.411764705882351</v>
      </c>
    </row>
    <row r="128" spans="1:2" x14ac:dyDescent="0.3">
      <c r="A128" t="s">
        <v>1072</v>
      </c>
      <c r="B128">
        <v>33.913823008849548</v>
      </c>
    </row>
    <row r="129" spans="1:2" x14ac:dyDescent="0.3">
      <c r="A129" t="s">
        <v>667</v>
      </c>
      <c r="B129">
        <v>26.736842105263161</v>
      </c>
    </row>
    <row r="130" spans="1:2" x14ac:dyDescent="0.3">
      <c r="A130" t="s">
        <v>621</v>
      </c>
      <c r="B130">
        <v>26.260869565217391</v>
      </c>
    </row>
    <row r="131" spans="1:2" x14ac:dyDescent="0.3">
      <c r="A131" t="s">
        <v>642</v>
      </c>
      <c r="B131">
        <v>27.76699029126214</v>
      </c>
    </row>
    <row r="132" spans="1:2" x14ac:dyDescent="0.3">
      <c r="A132" t="s">
        <v>613</v>
      </c>
      <c r="B132">
        <v>26.3448275862069</v>
      </c>
    </row>
    <row r="133" spans="1:2" x14ac:dyDescent="0.3">
      <c r="A133" t="s">
        <v>980</v>
      </c>
      <c r="B133">
        <v>20.766500000000001</v>
      </c>
    </row>
    <row r="134" spans="1:2" x14ac:dyDescent="0.3">
      <c r="A134" t="s">
        <v>604</v>
      </c>
      <c r="B134">
        <v>26.54545454545455</v>
      </c>
    </row>
    <row r="135" spans="1:2" x14ac:dyDescent="0.3">
      <c r="A135" t="s">
        <v>604</v>
      </c>
      <c r="B135">
        <v>28.780487804878049</v>
      </c>
    </row>
    <row r="136" spans="1:2" x14ac:dyDescent="0.3">
      <c r="A136" t="s">
        <v>1018</v>
      </c>
      <c r="B136">
        <v>34.520862385321102</v>
      </c>
    </row>
    <row r="137" spans="1:2" x14ac:dyDescent="0.3">
      <c r="A137" t="s">
        <v>633</v>
      </c>
      <c r="B137">
        <v>28.44444444444445</v>
      </c>
    </row>
    <row r="138" spans="1:2" x14ac:dyDescent="0.3">
      <c r="A138" t="s">
        <v>601</v>
      </c>
      <c r="B138">
        <v>25.53846153846154</v>
      </c>
    </row>
    <row r="139" spans="1:2" x14ac:dyDescent="0.3">
      <c r="A139" t="s">
        <v>601</v>
      </c>
      <c r="B139">
        <v>26.605504587155959</v>
      </c>
    </row>
    <row r="140" spans="1:2" x14ac:dyDescent="0.3">
      <c r="A140" t="s">
        <v>1123</v>
      </c>
      <c r="B140">
        <v>34.193958677685963</v>
      </c>
    </row>
    <row r="141" spans="1:2" x14ac:dyDescent="0.3">
      <c r="A141" t="s">
        <v>620</v>
      </c>
      <c r="B141">
        <v>26.837606837606842</v>
      </c>
    </row>
    <row r="142" spans="1:2" x14ac:dyDescent="0.3">
      <c r="A142" t="s">
        <v>605</v>
      </c>
      <c r="B142">
        <v>25.925925925925931</v>
      </c>
    </row>
    <row r="143" spans="1:2" x14ac:dyDescent="0.3">
      <c r="A143" t="s">
        <v>566</v>
      </c>
      <c r="B143">
        <v>28.27586206896552</v>
      </c>
    </row>
    <row r="144" spans="1:2" x14ac:dyDescent="0.3">
      <c r="A144" t="s">
        <v>566</v>
      </c>
      <c r="B144">
        <v>26.260869565217391</v>
      </c>
    </row>
    <row r="145" spans="1:2" x14ac:dyDescent="0.3">
      <c r="A145" t="s">
        <v>566</v>
      </c>
      <c r="B145">
        <v>31.07692307692308</v>
      </c>
    </row>
    <row r="146" spans="1:2" x14ac:dyDescent="0.3">
      <c r="A146" t="s">
        <v>719</v>
      </c>
      <c r="B146">
        <v>29.229549549549549</v>
      </c>
    </row>
    <row r="147" spans="1:2" x14ac:dyDescent="0.3">
      <c r="A147" t="s">
        <v>634</v>
      </c>
      <c r="B147">
        <v>28.888888888888889</v>
      </c>
    </row>
    <row r="148" spans="1:2" x14ac:dyDescent="0.3">
      <c r="A148" t="s">
        <v>542</v>
      </c>
      <c r="B148">
        <v>28.64</v>
      </c>
    </row>
    <row r="149" spans="1:2" x14ac:dyDescent="0.3">
      <c r="A149" t="s">
        <v>568</v>
      </c>
      <c r="B149">
        <v>26.54545454545455</v>
      </c>
    </row>
    <row r="150" spans="1:2" x14ac:dyDescent="0.3">
      <c r="A150" t="s">
        <v>563</v>
      </c>
      <c r="B150">
        <v>30.04878048780488</v>
      </c>
    </row>
    <row r="151" spans="1:2" x14ac:dyDescent="0.3">
      <c r="A151" t="s">
        <v>664</v>
      </c>
      <c r="B151">
        <v>20</v>
      </c>
    </row>
    <row r="152" spans="1:2" x14ac:dyDescent="0.3">
      <c r="A152" t="s">
        <v>696</v>
      </c>
    </row>
    <row r="153" spans="1:2" x14ac:dyDescent="0.3">
      <c r="A153" t="s">
        <v>623</v>
      </c>
      <c r="B153">
        <v>27.412844036697251</v>
      </c>
    </row>
    <row r="154" spans="1:2" x14ac:dyDescent="0.3">
      <c r="A154" t="s">
        <v>623</v>
      </c>
      <c r="B154">
        <v>26.569105691056919</v>
      </c>
    </row>
    <row r="155" spans="1:2" x14ac:dyDescent="0.3">
      <c r="A155" t="s">
        <v>843</v>
      </c>
      <c r="B155">
        <v>36.089156462585038</v>
      </c>
    </row>
    <row r="156" spans="1:2" x14ac:dyDescent="0.3">
      <c r="A156" t="s">
        <v>631</v>
      </c>
      <c r="B156">
        <v>29.032258064516121</v>
      </c>
    </row>
    <row r="157" spans="1:2" x14ac:dyDescent="0.3">
      <c r="A157" t="s">
        <v>678</v>
      </c>
      <c r="B157">
        <v>25.274999999999999</v>
      </c>
    </row>
    <row r="158" spans="1:2" x14ac:dyDescent="0.3">
      <c r="A158" t="s">
        <v>820</v>
      </c>
    </row>
    <row r="159" spans="1:2" x14ac:dyDescent="0.3">
      <c r="A159" t="s">
        <v>579</v>
      </c>
      <c r="B159">
        <v>27.851851851851851</v>
      </c>
    </row>
    <row r="160" spans="1:2" x14ac:dyDescent="0.3">
      <c r="A160" t="s">
        <v>596</v>
      </c>
      <c r="B160">
        <v>25.249999999999989</v>
      </c>
    </row>
    <row r="161" spans="1:2" x14ac:dyDescent="0.3">
      <c r="A161" t="s">
        <v>1050</v>
      </c>
      <c r="B161">
        <v>33.788513513513522</v>
      </c>
    </row>
    <row r="162" spans="1:2" x14ac:dyDescent="0.3">
      <c r="A162" t="s">
        <v>684</v>
      </c>
      <c r="B162">
        <v>26</v>
      </c>
    </row>
    <row r="163" spans="1:2" x14ac:dyDescent="0.3">
      <c r="A163" t="s">
        <v>603</v>
      </c>
      <c r="B163">
        <v>25.333333333333329</v>
      </c>
    </row>
    <row r="164" spans="1:2" x14ac:dyDescent="0.3">
      <c r="A164" t="s">
        <v>969</v>
      </c>
      <c r="B164">
        <v>-8.2434929577464899</v>
      </c>
    </row>
    <row r="165" spans="1:2" x14ac:dyDescent="0.3">
      <c r="A165" t="s">
        <v>973</v>
      </c>
      <c r="B165">
        <v>39.699655737704923</v>
      </c>
    </row>
    <row r="166" spans="1:2" x14ac:dyDescent="0.3">
      <c r="A166" t="s">
        <v>628</v>
      </c>
      <c r="B166">
        <v>48.05194805194806</v>
      </c>
    </row>
    <row r="167" spans="1:2" x14ac:dyDescent="0.3">
      <c r="A167" t="s">
        <v>598</v>
      </c>
      <c r="B167">
        <v>35.277777777777771</v>
      </c>
    </row>
    <row r="168" spans="1:2" x14ac:dyDescent="0.3">
      <c r="A168" t="s">
        <v>598</v>
      </c>
      <c r="B168">
        <v>35.891156462585037</v>
      </c>
    </row>
    <row r="169" spans="1:2" x14ac:dyDescent="0.3">
      <c r="A169" t="s">
        <v>1064</v>
      </c>
      <c r="B169">
        <v>1.390692307692309</v>
      </c>
    </row>
    <row r="170" spans="1:2" x14ac:dyDescent="0.3">
      <c r="A170" t="s">
        <v>1055</v>
      </c>
      <c r="B170">
        <v>14.726794029850749</v>
      </c>
    </row>
    <row r="171" spans="1:2" x14ac:dyDescent="0.3">
      <c r="A171" t="s">
        <v>659</v>
      </c>
      <c r="B171">
        <v>36</v>
      </c>
    </row>
    <row r="172" spans="1:2" x14ac:dyDescent="0.3">
      <c r="A172" t="s">
        <v>591</v>
      </c>
      <c r="B172">
        <v>36.923076923076927</v>
      </c>
    </row>
    <row r="173" spans="1:2" x14ac:dyDescent="0.3">
      <c r="A173" t="s">
        <v>775</v>
      </c>
      <c r="B173">
        <v>32.161046439628493</v>
      </c>
    </row>
    <row r="174" spans="1:2" x14ac:dyDescent="0.3">
      <c r="A174" t="s">
        <v>636</v>
      </c>
      <c r="B174">
        <v>35.867768595041333</v>
      </c>
    </row>
    <row r="175" spans="1:2" x14ac:dyDescent="0.3">
      <c r="A175" t="s">
        <v>1085</v>
      </c>
      <c r="B175">
        <v>32.393243386243377</v>
      </c>
    </row>
    <row r="176" spans="1:2" x14ac:dyDescent="0.3">
      <c r="A176" t="s">
        <v>666</v>
      </c>
      <c r="B176">
        <v>41.098901098901088</v>
      </c>
    </row>
    <row r="177" spans="1:2" x14ac:dyDescent="0.3">
      <c r="A177" t="s">
        <v>682</v>
      </c>
      <c r="B177">
        <v>35.673469387755098</v>
      </c>
    </row>
    <row r="178" spans="1:2" x14ac:dyDescent="0.3">
      <c r="A178" t="s">
        <v>517</v>
      </c>
      <c r="B178">
        <v>0</v>
      </c>
    </row>
    <row r="179" spans="1:2" x14ac:dyDescent="0.3">
      <c r="A179" t="s">
        <v>629</v>
      </c>
      <c r="B179">
        <v>35.806451612903217</v>
      </c>
    </row>
    <row r="180" spans="1:2" x14ac:dyDescent="0.3">
      <c r="A180" t="s">
        <v>629</v>
      </c>
      <c r="B180">
        <v>38.181818181818187</v>
      </c>
    </row>
    <row r="181" spans="1:2" x14ac:dyDescent="0.3">
      <c r="A181" t="s">
        <v>532</v>
      </c>
      <c r="B181">
        <v>0</v>
      </c>
    </row>
    <row r="182" spans="1:2" x14ac:dyDescent="0.3">
      <c r="A182" t="s">
        <v>1042</v>
      </c>
      <c r="B182">
        <v>49.582233766233763</v>
      </c>
    </row>
    <row r="183" spans="1:2" x14ac:dyDescent="0.3">
      <c r="A183" t="s">
        <v>821</v>
      </c>
      <c r="B183">
        <v>33.964715719063541</v>
      </c>
    </row>
    <row r="184" spans="1:2" x14ac:dyDescent="0.3">
      <c r="A184" t="s">
        <v>625</v>
      </c>
      <c r="B184">
        <v>43.15789473684211</v>
      </c>
    </row>
    <row r="185" spans="1:2" x14ac:dyDescent="0.3">
      <c r="A185" t="s">
        <v>1021</v>
      </c>
      <c r="B185">
        <v>41.424719512195118</v>
      </c>
    </row>
    <row r="186" spans="1:2" x14ac:dyDescent="0.3">
      <c r="A186" t="s">
        <v>962</v>
      </c>
      <c r="B186">
        <v>29.5444</v>
      </c>
    </row>
    <row r="187" spans="1:2" x14ac:dyDescent="0.3">
      <c r="A187" t="s">
        <v>514</v>
      </c>
      <c r="B187">
        <v>0</v>
      </c>
    </row>
    <row r="188" spans="1:2" x14ac:dyDescent="0.3">
      <c r="A188" t="s">
        <v>1119</v>
      </c>
      <c r="B188">
        <v>41.750934802777692</v>
      </c>
    </row>
    <row r="189" spans="1:2" x14ac:dyDescent="0.3">
      <c r="A189" t="s">
        <v>1156</v>
      </c>
      <c r="B189">
        <v>39.151543624161079</v>
      </c>
    </row>
    <row r="190" spans="1:2" x14ac:dyDescent="0.3">
      <c r="A190" t="s">
        <v>559</v>
      </c>
      <c r="B190">
        <v>39.130434782608688</v>
      </c>
    </row>
    <row r="191" spans="1:2" x14ac:dyDescent="0.3">
      <c r="A191" t="s">
        <v>559</v>
      </c>
      <c r="B191">
        <v>43.880597014925371</v>
      </c>
    </row>
    <row r="192" spans="1:2" x14ac:dyDescent="0.3">
      <c r="A192" t="s">
        <v>957</v>
      </c>
      <c r="B192">
        <v>17.363236363636361</v>
      </c>
    </row>
    <row r="193" spans="1:2" x14ac:dyDescent="0.3">
      <c r="A193" t="s">
        <v>1053</v>
      </c>
      <c r="B193">
        <v>25.018621722846451</v>
      </c>
    </row>
    <row r="194" spans="1:2" x14ac:dyDescent="0.3">
      <c r="A194" t="s">
        <v>528</v>
      </c>
      <c r="B194">
        <v>0</v>
      </c>
    </row>
    <row r="195" spans="1:2" x14ac:dyDescent="0.3">
      <c r="A195" t="s">
        <v>581</v>
      </c>
      <c r="B195">
        <v>37.28</v>
      </c>
    </row>
    <row r="196" spans="1:2" x14ac:dyDescent="0.3">
      <c r="A196" t="s">
        <v>1092</v>
      </c>
      <c r="B196">
        <v>35.099821229050278</v>
      </c>
    </row>
    <row r="197" spans="1:2" x14ac:dyDescent="0.3">
      <c r="A197" t="s">
        <v>529</v>
      </c>
    </row>
    <row r="198" spans="1:2" x14ac:dyDescent="0.3">
      <c r="A198" t="s">
        <v>1140</v>
      </c>
      <c r="B198">
        <v>50.972545454545461</v>
      </c>
    </row>
    <row r="199" spans="1:2" x14ac:dyDescent="0.3">
      <c r="A199" t="s">
        <v>1114</v>
      </c>
      <c r="B199">
        <v>4.8021298814200026</v>
      </c>
    </row>
    <row r="200" spans="1:2" x14ac:dyDescent="0.3">
      <c r="A200" t="s">
        <v>586</v>
      </c>
      <c r="B200">
        <v>37.00787401574803</v>
      </c>
    </row>
    <row r="201" spans="1:2" x14ac:dyDescent="0.3">
      <c r="A201" t="s">
        <v>639</v>
      </c>
      <c r="B201">
        <v>35.325670498084293</v>
      </c>
    </row>
    <row r="202" spans="1:2" x14ac:dyDescent="0.3">
      <c r="A202" t="s">
        <v>1048</v>
      </c>
      <c r="B202">
        <v>18.823210675293151</v>
      </c>
    </row>
    <row r="203" spans="1:2" x14ac:dyDescent="0.3">
      <c r="A203" t="s">
        <v>653</v>
      </c>
      <c r="B203">
        <v>37.00787401574803</v>
      </c>
    </row>
    <row r="204" spans="1:2" x14ac:dyDescent="0.3">
      <c r="A204" t="s">
        <v>1062</v>
      </c>
      <c r="B204">
        <v>14.993774772278799</v>
      </c>
    </row>
    <row r="205" spans="1:2" x14ac:dyDescent="0.3">
      <c r="A205" t="s">
        <v>1133</v>
      </c>
      <c r="B205">
        <v>9.8101265822784782</v>
      </c>
    </row>
    <row r="206" spans="1:2" x14ac:dyDescent="0.3">
      <c r="A206" t="s">
        <v>610</v>
      </c>
      <c r="B206">
        <v>35.36</v>
      </c>
    </row>
    <row r="207" spans="1:2" x14ac:dyDescent="0.3">
      <c r="A207" t="s">
        <v>996</v>
      </c>
      <c r="B207">
        <v>29.232119170984451</v>
      </c>
    </row>
    <row r="208" spans="1:2" x14ac:dyDescent="0.3">
      <c r="A208" t="s">
        <v>1127</v>
      </c>
      <c r="B208">
        <v>19.431832669322699</v>
      </c>
    </row>
    <row r="209" spans="1:2" x14ac:dyDescent="0.3">
      <c r="A209" t="s">
        <v>675</v>
      </c>
      <c r="B209">
        <v>34.594594594594597</v>
      </c>
    </row>
    <row r="210" spans="1:2" x14ac:dyDescent="0.3">
      <c r="A210" t="s">
        <v>894</v>
      </c>
      <c r="B210">
        <v>32.301817679558013</v>
      </c>
    </row>
    <row r="211" spans="1:2" x14ac:dyDescent="0.3">
      <c r="A211" t="s">
        <v>592</v>
      </c>
      <c r="B211">
        <v>37.142857142857153</v>
      </c>
    </row>
    <row r="212" spans="1:2" x14ac:dyDescent="0.3">
      <c r="A212" t="s">
        <v>1013</v>
      </c>
      <c r="B212">
        <v>19.325153374233128</v>
      </c>
    </row>
    <row r="213" spans="1:2" x14ac:dyDescent="0.3">
      <c r="A213" t="s">
        <v>577</v>
      </c>
      <c r="B213">
        <v>36.744186046511629</v>
      </c>
    </row>
    <row r="214" spans="1:2" x14ac:dyDescent="0.3">
      <c r="A214" t="s">
        <v>650</v>
      </c>
      <c r="B214">
        <v>35.539568345323737</v>
      </c>
    </row>
    <row r="215" spans="1:2" x14ac:dyDescent="0.3">
      <c r="A215" t="s">
        <v>870</v>
      </c>
      <c r="B215">
        <v>25.185776978417259</v>
      </c>
    </row>
    <row r="216" spans="1:2" x14ac:dyDescent="0.3">
      <c r="A216" t="s">
        <v>562</v>
      </c>
      <c r="B216">
        <v>42.285714285714278</v>
      </c>
    </row>
    <row r="217" spans="1:2" x14ac:dyDescent="0.3">
      <c r="A217" t="s">
        <v>945</v>
      </c>
      <c r="B217">
        <v>12.2896129032258</v>
      </c>
    </row>
    <row r="218" spans="1:2" x14ac:dyDescent="0.3">
      <c r="A218" t="s">
        <v>945</v>
      </c>
      <c r="B218">
        <v>21.897810218978101</v>
      </c>
    </row>
    <row r="219" spans="1:2" x14ac:dyDescent="0.3">
      <c r="A219" t="s">
        <v>1148</v>
      </c>
      <c r="B219">
        <v>23.976608187134509</v>
      </c>
    </row>
    <row r="220" spans="1:2" x14ac:dyDescent="0.3">
      <c r="A220" t="s">
        <v>871</v>
      </c>
      <c r="B220">
        <v>8.4362139917695487</v>
      </c>
    </row>
    <row r="221" spans="1:2" x14ac:dyDescent="0.3">
      <c r="A221" t="s">
        <v>747</v>
      </c>
      <c r="B221">
        <v>14.3646408839779</v>
      </c>
    </row>
    <row r="222" spans="1:2" x14ac:dyDescent="0.3">
      <c r="A222" t="s">
        <v>799</v>
      </c>
      <c r="B222">
        <v>10.027524005486979</v>
      </c>
    </row>
    <row r="223" spans="1:2" x14ac:dyDescent="0.3">
      <c r="A223" t="s">
        <v>1089</v>
      </c>
      <c r="B223">
        <v>29.411764705882351</v>
      </c>
    </row>
    <row r="224" spans="1:2" x14ac:dyDescent="0.3">
      <c r="A224" t="s">
        <v>669</v>
      </c>
      <c r="B224">
        <v>37.142857142857153</v>
      </c>
    </row>
    <row r="225" spans="1:2" x14ac:dyDescent="0.3">
      <c r="A225" t="s">
        <v>677</v>
      </c>
      <c r="B225">
        <v>38.424242424242429</v>
      </c>
    </row>
    <row r="226" spans="1:2" x14ac:dyDescent="0.3">
      <c r="A226" t="s">
        <v>1060</v>
      </c>
      <c r="B226">
        <v>32.373274999999992</v>
      </c>
    </row>
    <row r="227" spans="1:2" x14ac:dyDescent="0.3">
      <c r="A227" t="s">
        <v>1104</v>
      </c>
      <c r="B227">
        <v>21.782164634146341</v>
      </c>
    </row>
    <row r="228" spans="1:2" x14ac:dyDescent="0.3">
      <c r="A228" t="s">
        <v>783</v>
      </c>
      <c r="B228">
        <v>24.404761904761909</v>
      </c>
    </row>
    <row r="229" spans="1:2" x14ac:dyDescent="0.3">
      <c r="A229" t="s">
        <v>702</v>
      </c>
    </row>
    <row r="230" spans="1:2" x14ac:dyDescent="0.3">
      <c r="A230" t="s">
        <v>708</v>
      </c>
      <c r="B230">
        <v>36.666666666666671</v>
      </c>
    </row>
    <row r="231" spans="1:2" x14ac:dyDescent="0.3">
      <c r="A231" t="s">
        <v>985</v>
      </c>
      <c r="B231">
        <v>29.59515822784811</v>
      </c>
    </row>
    <row r="232" spans="1:2" x14ac:dyDescent="0.3">
      <c r="A232" t="s">
        <v>588</v>
      </c>
      <c r="B232">
        <v>33.684210526315788</v>
      </c>
    </row>
    <row r="233" spans="1:2" x14ac:dyDescent="0.3">
      <c r="A233" t="s">
        <v>982</v>
      </c>
      <c r="B233">
        <v>22.282608695652169</v>
      </c>
    </row>
    <row r="234" spans="1:2" x14ac:dyDescent="0.3">
      <c r="A234" t="s">
        <v>646</v>
      </c>
      <c r="B234">
        <v>37.681159420289859</v>
      </c>
    </row>
    <row r="235" spans="1:2" x14ac:dyDescent="0.3">
      <c r="A235" t="s">
        <v>1137</v>
      </c>
      <c r="B235">
        <v>25.54231578947369</v>
      </c>
    </row>
    <row r="236" spans="1:2" x14ac:dyDescent="0.3">
      <c r="A236" t="s">
        <v>703</v>
      </c>
      <c r="B236">
        <v>33.333333333333343</v>
      </c>
    </row>
    <row r="237" spans="1:2" x14ac:dyDescent="0.3">
      <c r="A237" t="s">
        <v>572</v>
      </c>
      <c r="B237">
        <v>37.841726618705039</v>
      </c>
    </row>
    <row r="238" spans="1:2" x14ac:dyDescent="0.3">
      <c r="A238" t="s">
        <v>845</v>
      </c>
      <c r="B238">
        <v>40.333472392638043</v>
      </c>
    </row>
    <row r="239" spans="1:2" x14ac:dyDescent="0.3">
      <c r="A239" t="s">
        <v>530</v>
      </c>
      <c r="B239">
        <v>0</v>
      </c>
    </row>
    <row r="240" spans="1:2" x14ac:dyDescent="0.3">
      <c r="A240" t="s">
        <v>549</v>
      </c>
      <c r="B240">
        <v>37.777777777777779</v>
      </c>
    </row>
    <row r="241" spans="1:2" x14ac:dyDescent="0.3">
      <c r="A241" t="s">
        <v>531</v>
      </c>
    </row>
    <row r="242" spans="1:2" x14ac:dyDescent="0.3">
      <c r="A242" t="s">
        <v>522</v>
      </c>
      <c r="B242">
        <v>0</v>
      </c>
    </row>
    <row r="243" spans="1:2" x14ac:dyDescent="0.3">
      <c r="A243" t="s">
        <v>1099</v>
      </c>
      <c r="B243">
        <v>34.097421203438387</v>
      </c>
    </row>
    <row r="244" spans="1:2" x14ac:dyDescent="0.3">
      <c r="A244" t="s">
        <v>965</v>
      </c>
      <c r="B244">
        <v>33.624977011494259</v>
      </c>
    </row>
    <row r="245" spans="1:2" x14ac:dyDescent="0.3">
      <c r="A245" t="s">
        <v>494</v>
      </c>
      <c r="B245">
        <v>0</v>
      </c>
    </row>
    <row r="246" spans="1:2" x14ac:dyDescent="0.3">
      <c r="A246" t="s">
        <v>1117</v>
      </c>
      <c r="B246">
        <v>23.882681564245811</v>
      </c>
    </row>
    <row r="247" spans="1:2" x14ac:dyDescent="0.3">
      <c r="A247" t="s">
        <v>584</v>
      </c>
      <c r="B247">
        <v>40.597014925373131</v>
      </c>
    </row>
    <row r="248" spans="1:2" x14ac:dyDescent="0.3">
      <c r="A248" t="s">
        <v>1034</v>
      </c>
      <c r="B248">
        <v>31.088173184357551</v>
      </c>
    </row>
    <row r="249" spans="1:2" x14ac:dyDescent="0.3">
      <c r="A249" t="s">
        <v>506</v>
      </c>
      <c r="B249">
        <v>8.6477987421383684</v>
      </c>
    </row>
    <row r="250" spans="1:2" x14ac:dyDescent="0.3">
      <c r="A250" t="s">
        <v>1069</v>
      </c>
      <c r="B250">
        <v>12.43862520458265</v>
      </c>
    </row>
    <row r="251" spans="1:2" x14ac:dyDescent="0.3">
      <c r="A251" t="s">
        <v>615</v>
      </c>
      <c r="B251">
        <v>32.832167832167833</v>
      </c>
    </row>
    <row r="252" spans="1:2" x14ac:dyDescent="0.3">
      <c r="A252" t="s">
        <v>1080</v>
      </c>
      <c r="B252">
        <v>13.882107954545461</v>
      </c>
    </row>
    <row r="253" spans="1:2" x14ac:dyDescent="0.3">
      <c r="A253" t="s">
        <v>1097</v>
      </c>
      <c r="B253">
        <v>11.974110032362461</v>
      </c>
    </row>
    <row r="254" spans="1:2" x14ac:dyDescent="0.3">
      <c r="A254" t="s">
        <v>1112</v>
      </c>
      <c r="B254">
        <v>27.778903790087469</v>
      </c>
    </row>
    <row r="255" spans="1:2" x14ac:dyDescent="0.3">
      <c r="A255" t="s">
        <v>521</v>
      </c>
      <c r="B255">
        <v>0</v>
      </c>
    </row>
    <row r="256" spans="1:2" x14ac:dyDescent="0.3">
      <c r="A256" t="s">
        <v>967</v>
      </c>
      <c r="B256">
        <v>28.417333333333339</v>
      </c>
    </row>
    <row r="257" spans="1:2" x14ac:dyDescent="0.3">
      <c r="A257" t="s">
        <v>896</v>
      </c>
      <c r="B257">
        <v>20.21546511627907</v>
      </c>
    </row>
    <row r="258" spans="1:2" x14ac:dyDescent="0.3">
      <c r="A258" t="s">
        <v>907</v>
      </c>
      <c r="B258">
        <v>23.05708661417323</v>
      </c>
    </row>
    <row r="259" spans="1:2" x14ac:dyDescent="0.3">
      <c r="A259" t="s">
        <v>654</v>
      </c>
      <c r="B259">
        <v>33.432835820895527</v>
      </c>
    </row>
    <row r="260" spans="1:2" x14ac:dyDescent="0.3">
      <c r="A260" t="s">
        <v>792</v>
      </c>
      <c r="B260">
        <v>17.355371900826441</v>
      </c>
    </row>
    <row r="261" spans="1:2" x14ac:dyDescent="0.3">
      <c r="A261" t="s">
        <v>899</v>
      </c>
      <c r="B261">
        <v>24.369973190348521</v>
      </c>
    </row>
    <row r="262" spans="1:2" x14ac:dyDescent="0.3">
      <c r="A262" t="s">
        <v>815</v>
      </c>
      <c r="B262">
        <v>31.942521701388891</v>
      </c>
    </row>
    <row r="263" spans="1:2" x14ac:dyDescent="0.3">
      <c r="A263" t="s">
        <v>518</v>
      </c>
      <c r="B263">
        <v>0</v>
      </c>
    </row>
    <row r="264" spans="1:2" x14ac:dyDescent="0.3">
      <c r="A264" t="s">
        <v>927</v>
      </c>
      <c r="B264">
        <v>23.236842105263161</v>
      </c>
    </row>
    <row r="265" spans="1:2" x14ac:dyDescent="0.3">
      <c r="A265" t="s">
        <v>1120</v>
      </c>
      <c r="B265">
        <v>36.454814077376852</v>
      </c>
    </row>
    <row r="266" spans="1:2" x14ac:dyDescent="0.3">
      <c r="A266" t="s">
        <v>884</v>
      </c>
      <c r="B266">
        <v>41.386340468909268</v>
      </c>
    </row>
    <row r="267" spans="1:2" x14ac:dyDescent="0.3">
      <c r="A267" t="s">
        <v>627</v>
      </c>
      <c r="B267">
        <v>43.046357615894038</v>
      </c>
    </row>
    <row r="268" spans="1:2" x14ac:dyDescent="0.3">
      <c r="A268" t="s">
        <v>1044</v>
      </c>
      <c r="B268">
        <v>34.29951690821256</v>
      </c>
    </row>
    <row r="269" spans="1:2" x14ac:dyDescent="0.3">
      <c r="A269" t="s">
        <v>941</v>
      </c>
      <c r="B269">
        <v>8.3832335329341312</v>
      </c>
    </row>
    <row r="270" spans="1:2" x14ac:dyDescent="0.3">
      <c r="A270" t="s">
        <v>850</v>
      </c>
      <c r="B270">
        <v>22.535211267605639</v>
      </c>
    </row>
    <row r="271" spans="1:2" x14ac:dyDescent="0.3">
      <c r="A271" t="s">
        <v>738</v>
      </c>
      <c r="B271">
        <v>41.043083900226762</v>
      </c>
    </row>
    <row r="272" spans="1:2" x14ac:dyDescent="0.3">
      <c r="A272" t="s">
        <v>742</v>
      </c>
      <c r="B272">
        <v>23.07692307692307</v>
      </c>
    </row>
    <row r="273" spans="1:2" x14ac:dyDescent="0.3">
      <c r="A273" t="s">
        <v>697</v>
      </c>
      <c r="B273">
        <v>10.828025477707</v>
      </c>
    </row>
    <row r="274" spans="1:2" x14ac:dyDescent="0.3">
      <c r="A274" t="s">
        <v>954</v>
      </c>
      <c r="B274">
        <v>9.6045197740112993</v>
      </c>
    </row>
    <row r="275" spans="1:2" x14ac:dyDescent="0.3">
      <c r="A275" t="s">
        <v>641</v>
      </c>
      <c r="B275">
        <v>27.27272727272727</v>
      </c>
    </row>
    <row r="276" spans="1:2" x14ac:dyDescent="0.3">
      <c r="A276" t="s">
        <v>687</v>
      </c>
      <c r="B276">
        <v>31.92488262910798</v>
      </c>
    </row>
    <row r="277" spans="1:2" x14ac:dyDescent="0.3">
      <c r="A277" t="s">
        <v>687</v>
      </c>
      <c r="B277">
        <v>17.5</v>
      </c>
    </row>
    <row r="278" spans="1:2" x14ac:dyDescent="0.3">
      <c r="A278" t="s">
        <v>1083</v>
      </c>
      <c r="B278">
        <v>13.83219954648526</v>
      </c>
    </row>
    <row r="279" spans="1:2" x14ac:dyDescent="0.3">
      <c r="A279" t="s">
        <v>909</v>
      </c>
      <c r="B279">
        <v>23.29545454545454</v>
      </c>
    </row>
    <row r="280" spans="1:2" x14ac:dyDescent="0.3">
      <c r="A280" t="s">
        <v>903</v>
      </c>
      <c r="B280">
        <v>25.558312655086841</v>
      </c>
    </row>
    <row r="281" spans="1:2" x14ac:dyDescent="0.3">
      <c r="A281" t="s">
        <v>955</v>
      </c>
      <c r="B281">
        <v>32.653061224489797</v>
      </c>
    </row>
    <row r="282" spans="1:2" x14ac:dyDescent="0.3">
      <c r="A282" t="s">
        <v>862</v>
      </c>
      <c r="B282">
        <v>28.571428571428569</v>
      </c>
    </row>
    <row r="283" spans="1:2" x14ac:dyDescent="0.3">
      <c r="A283" t="s">
        <v>688</v>
      </c>
      <c r="B283">
        <v>26.326129666011791</v>
      </c>
    </row>
    <row r="284" spans="1:2" x14ac:dyDescent="0.3">
      <c r="A284" t="s">
        <v>688</v>
      </c>
      <c r="B284">
        <v>23.822714681440441</v>
      </c>
    </row>
    <row r="285" spans="1:2" x14ac:dyDescent="0.3">
      <c r="A285" t="s">
        <v>502</v>
      </c>
      <c r="B285">
        <v>0</v>
      </c>
    </row>
    <row r="286" spans="1:2" x14ac:dyDescent="0.3">
      <c r="A286" t="s">
        <v>770</v>
      </c>
      <c r="B286">
        <v>21.95121951219512</v>
      </c>
    </row>
    <row r="287" spans="1:2" x14ac:dyDescent="0.3">
      <c r="A287" t="s">
        <v>651</v>
      </c>
      <c r="B287">
        <v>33.793103448275858</v>
      </c>
    </row>
    <row r="288" spans="1:2" x14ac:dyDescent="0.3">
      <c r="A288" t="s">
        <v>882</v>
      </c>
      <c r="B288">
        <v>36.758893280632407</v>
      </c>
    </row>
    <row r="289" spans="1:2" x14ac:dyDescent="0.3">
      <c r="A289" t="s">
        <v>686</v>
      </c>
    </row>
    <row r="290" spans="1:2" x14ac:dyDescent="0.3">
      <c r="A290" t="s">
        <v>662</v>
      </c>
      <c r="B290">
        <v>35.13513513513513</v>
      </c>
    </row>
    <row r="291" spans="1:2" x14ac:dyDescent="0.3">
      <c r="A291" t="s">
        <v>789</v>
      </c>
      <c r="B291">
        <v>25.581395348837209</v>
      </c>
    </row>
    <row r="292" spans="1:2" x14ac:dyDescent="0.3">
      <c r="A292" t="s">
        <v>1009</v>
      </c>
      <c r="B292">
        <v>22.33009708737864</v>
      </c>
    </row>
    <row r="293" spans="1:2" x14ac:dyDescent="0.3">
      <c r="A293" t="s">
        <v>805</v>
      </c>
      <c r="B293">
        <v>26.2890625</v>
      </c>
    </row>
    <row r="294" spans="1:2" x14ac:dyDescent="0.3">
      <c r="A294" t="s">
        <v>647</v>
      </c>
      <c r="B294">
        <v>35.030303030303031</v>
      </c>
    </row>
    <row r="295" spans="1:2" x14ac:dyDescent="0.3">
      <c r="A295" t="s">
        <v>1032</v>
      </c>
      <c r="B295">
        <v>20.668058455114821</v>
      </c>
    </row>
    <row r="296" spans="1:2" x14ac:dyDescent="0.3">
      <c r="A296" t="s">
        <v>994</v>
      </c>
      <c r="B296">
        <v>23.754789272030649</v>
      </c>
    </row>
    <row r="297" spans="1:2" x14ac:dyDescent="0.3">
      <c r="A297" t="s">
        <v>1091</v>
      </c>
      <c r="B297">
        <v>24.528301886792448</v>
      </c>
    </row>
    <row r="298" spans="1:2" x14ac:dyDescent="0.3">
      <c r="A298" t="s">
        <v>643</v>
      </c>
      <c r="B298">
        <v>34.502923976608187</v>
      </c>
    </row>
    <row r="299" spans="1:2" x14ac:dyDescent="0.3">
      <c r="A299" t="s">
        <v>990</v>
      </c>
      <c r="B299">
        <v>28.35820895522388</v>
      </c>
    </row>
    <row r="300" spans="1:2" x14ac:dyDescent="0.3">
      <c r="A300" t="s">
        <v>722</v>
      </c>
      <c r="B300">
        <v>32.710280373831779</v>
      </c>
    </row>
    <row r="301" spans="1:2" x14ac:dyDescent="0.3">
      <c r="A301" t="s">
        <v>560</v>
      </c>
      <c r="B301">
        <v>38.787878787878803</v>
      </c>
    </row>
    <row r="302" spans="1:2" x14ac:dyDescent="0.3">
      <c r="A302" t="s">
        <v>594</v>
      </c>
      <c r="B302">
        <v>39.00709219858156</v>
      </c>
    </row>
    <row r="303" spans="1:2" x14ac:dyDescent="0.3">
      <c r="A303" t="s">
        <v>1128</v>
      </c>
      <c r="B303">
        <v>24.846625766871171</v>
      </c>
    </row>
    <row r="304" spans="1:2" x14ac:dyDescent="0.3">
      <c r="A304" t="s">
        <v>520</v>
      </c>
      <c r="B304">
        <v>0</v>
      </c>
    </row>
    <row r="305" spans="1:2" x14ac:dyDescent="0.3">
      <c r="A305" t="s">
        <v>523</v>
      </c>
      <c r="B305">
        <v>0</v>
      </c>
    </row>
    <row r="306" spans="1:2" x14ac:dyDescent="0.3">
      <c r="A306" t="s">
        <v>932</v>
      </c>
      <c r="B306">
        <v>12.32118135671435</v>
      </c>
    </row>
    <row r="307" spans="1:2" x14ac:dyDescent="0.3">
      <c r="A307" t="s">
        <v>582</v>
      </c>
      <c r="B307">
        <v>56.11702127659575</v>
      </c>
    </row>
    <row r="308" spans="1:2" x14ac:dyDescent="0.3">
      <c r="A308" t="s">
        <v>557</v>
      </c>
      <c r="B308">
        <v>32.142857142857139</v>
      </c>
    </row>
    <row r="309" spans="1:2" x14ac:dyDescent="0.3">
      <c r="A309" t="s">
        <v>539</v>
      </c>
      <c r="B309">
        <v>0</v>
      </c>
    </row>
    <row r="310" spans="1:2" x14ac:dyDescent="0.3">
      <c r="A310" t="s">
        <v>495</v>
      </c>
      <c r="B310">
        <v>34.212454212454212</v>
      </c>
    </row>
    <row r="311" spans="1:2" x14ac:dyDescent="0.3">
      <c r="A311" t="s">
        <v>1149</v>
      </c>
      <c r="B311">
        <v>22.489959839357429</v>
      </c>
    </row>
    <row r="312" spans="1:2" x14ac:dyDescent="0.3">
      <c r="A312" t="s">
        <v>943</v>
      </c>
      <c r="B312">
        <v>20.65217391304348</v>
      </c>
    </row>
    <row r="313" spans="1:2" x14ac:dyDescent="0.3">
      <c r="A313" t="s">
        <v>950</v>
      </c>
      <c r="B313">
        <v>16.898305084745761</v>
      </c>
    </row>
    <row r="314" spans="1:2" x14ac:dyDescent="0.3">
      <c r="A314" t="s">
        <v>1158</v>
      </c>
      <c r="B314">
        <v>0</v>
      </c>
    </row>
    <row r="315" spans="1:2" x14ac:dyDescent="0.3">
      <c r="A315" t="s">
        <v>524</v>
      </c>
      <c r="B315">
        <v>0</v>
      </c>
    </row>
    <row r="316" spans="1:2" x14ac:dyDescent="0.3">
      <c r="A316" t="s">
        <v>1038</v>
      </c>
      <c r="B316">
        <v>24.324324324324319</v>
      </c>
    </row>
    <row r="317" spans="1:2" x14ac:dyDescent="0.3">
      <c r="A317" t="s">
        <v>765</v>
      </c>
      <c r="B317">
        <v>16.279069767441861</v>
      </c>
    </row>
    <row r="318" spans="1:2" x14ac:dyDescent="0.3">
      <c r="A318" t="s">
        <v>622</v>
      </c>
      <c r="B318">
        <v>44.037490331680239</v>
      </c>
    </row>
    <row r="319" spans="1:2" x14ac:dyDescent="0.3">
      <c r="A319" t="s">
        <v>930</v>
      </c>
      <c r="B319">
        <v>29.056603773584911</v>
      </c>
    </row>
    <row r="320" spans="1:2" x14ac:dyDescent="0.3">
      <c r="A320" t="s">
        <v>841</v>
      </c>
      <c r="B320">
        <v>27.725738195996389</v>
      </c>
    </row>
    <row r="321" spans="1:2" x14ac:dyDescent="0.3">
      <c r="A321" t="s">
        <v>672</v>
      </c>
      <c r="B321">
        <v>4.5248868778280489</v>
      </c>
    </row>
    <row r="322" spans="1:2" x14ac:dyDescent="0.3">
      <c r="A322" t="s">
        <v>725</v>
      </c>
      <c r="B322">
        <v>28.09667673716012</v>
      </c>
    </row>
    <row r="323" spans="1:2" x14ac:dyDescent="0.3">
      <c r="A323" t="s">
        <v>545</v>
      </c>
      <c r="B323">
        <v>43.39622641509434</v>
      </c>
    </row>
    <row r="324" spans="1:2" x14ac:dyDescent="0.3">
      <c r="A324" t="s">
        <v>546</v>
      </c>
      <c r="B324">
        <v>43.30708661417323</v>
      </c>
    </row>
    <row r="325" spans="1:2" x14ac:dyDescent="0.3">
      <c r="A325" t="s">
        <v>975</v>
      </c>
      <c r="B325">
        <v>26.557377049180332</v>
      </c>
    </row>
    <row r="326" spans="1:2" x14ac:dyDescent="0.3">
      <c r="A326" t="s">
        <v>1000</v>
      </c>
      <c r="B326">
        <v>30.44692737430168</v>
      </c>
    </row>
    <row r="327" spans="1:2" x14ac:dyDescent="0.3">
      <c r="A327" t="s">
        <v>550</v>
      </c>
      <c r="B327">
        <v>38.723404255319153</v>
      </c>
    </row>
    <row r="328" spans="1:2" x14ac:dyDescent="0.3">
      <c r="A328" t="s">
        <v>1121</v>
      </c>
      <c r="B328">
        <v>42.451919506942893</v>
      </c>
    </row>
    <row r="329" spans="1:2" x14ac:dyDescent="0.3">
      <c r="A329" t="s">
        <v>553</v>
      </c>
      <c r="B329">
        <v>44.615384615384613</v>
      </c>
    </row>
    <row r="330" spans="1:2" x14ac:dyDescent="0.3">
      <c r="A330" t="s">
        <v>748</v>
      </c>
      <c r="B330">
        <v>34.152334152334149</v>
      </c>
    </row>
    <row r="331" spans="1:2" x14ac:dyDescent="0.3">
      <c r="A331" t="s">
        <v>748</v>
      </c>
      <c r="B331">
        <v>6.6666666666666652</v>
      </c>
    </row>
    <row r="332" spans="1:2" x14ac:dyDescent="0.3">
      <c r="A332" t="s">
        <v>822</v>
      </c>
      <c r="B332">
        <v>41.525423728813557</v>
      </c>
    </row>
    <row r="333" spans="1:2" x14ac:dyDescent="0.3">
      <c r="A333" t="s">
        <v>822</v>
      </c>
      <c r="B333">
        <v>36.480686695278983</v>
      </c>
    </row>
    <row r="334" spans="1:2" x14ac:dyDescent="0.3">
      <c r="A334" t="s">
        <v>822</v>
      </c>
      <c r="B334">
        <v>15.254237288135601</v>
      </c>
    </row>
    <row r="335" spans="1:2" x14ac:dyDescent="0.3">
      <c r="A335" t="s">
        <v>822</v>
      </c>
      <c r="B335">
        <v>40.772532188841197</v>
      </c>
    </row>
    <row r="336" spans="1:2" x14ac:dyDescent="0.3">
      <c r="A336" t="s">
        <v>822</v>
      </c>
      <c r="B336">
        <v>42.63565891472868</v>
      </c>
    </row>
    <row r="337" spans="1:2" x14ac:dyDescent="0.3">
      <c r="A337" t="s">
        <v>822</v>
      </c>
      <c r="B337">
        <v>34.222222222222221</v>
      </c>
    </row>
    <row r="338" spans="1:2" x14ac:dyDescent="0.3">
      <c r="A338" t="s">
        <v>822</v>
      </c>
      <c r="B338">
        <v>18.604651162790699</v>
      </c>
    </row>
    <row r="339" spans="1:2" x14ac:dyDescent="0.3">
      <c r="A339" t="s">
        <v>772</v>
      </c>
      <c r="B339">
        <v>30.516431924882621</v>
      </c>
    </row>
    <row r="340" spans="1:2" x14ac:dyDescent="0.3">
      <c r="A340" t="s">
        <v>837</v>
      </c>
      <c r="B340">
        <v>14.163090128755361</v>
      </c>
    </row>
    <row r="341" spans="1:2" x14ac:dyDescent="0.3">
      <c r="A341" t="s">
        <v>831</v>
      </c>
      <c r="B341">
        <v>14.163090128755361</v>
      </c>
    </row>
    <row r="342" spans="1:2" x14ac:dyDescent="0.3">
      <c r="A342" t="s">
        <v>960</v>
      </c>
      <c r="B342">
        <v>23.469387755102041</v>
      </c>
    </row>
    <row r="343" spans="1:2" x14ac:dyDescent="0.3">
      <c r="A343" t="s">
        <v>759</v>
      </c>
      <c r="B343">
        <v>13.249211356466869</v>
      </c>
    </row>
    <row r="344" spans="1:2" x14ac:dyDescent="0.3">
      <c r="A344" t="s">
        <v>555</v>
      </c>
      <c r="B344">
        <v>44.615384615384613</v>
      </c>
    </row>
    <row r="345" spans="1:2" x14ac:dyDescent="0.3">
      <c r="A345" t="s">
        <v>1040</v>
      </c>
      <c r="B345">
        <v>29.455445544554461</v>
      </c>
    </row>
    <row r="346" spans="1:2" x14ac:dyDescent="0.3">
      <c r="A346" t="s">
        <v>825</v>
      </c>
      <c r="B346">
        <v>13.04347826086957</v>
      </c>
    </row>
    <row r="347" spans="1:2" x14ac:dyDescent="0.3">
      <c r="A347" t="s">
        <v>825</v>
      </c>
      <c r="B347">
        <v>10.25641025641025</v>
      </c>
    </row>
    <row r="348" spans="1:2" x14ac:dyDescent="0.3">
      <c r="A348" t="s">
        <v>968</v>
      </c>
      <c r="B348">
        <v>29.78208232445521</v>
      </c>
    </row>
    <row r="349" spans="1:2" x14ac:dyDescent="0.3">
      <c r="A349" t="s">
        <v>828</v>
      </c>
      <c r="B349">
        <v>27.536231884057969</v>
      </c>
    </row>
    <row r="350" spans="1:2" x14ac:dyDescent="0.3">
      <c r="A350" t="s">
        <v>1095</v>
      </c>
      <c r="B350">
        <v>22.847682119205292</v>
      </c>
    </row>
    <row r="351" spans="1:2" x14ac:dyDescent="0.3">
      <c r="A351" t="s">
        <v>773</v>
      </c>
      <c r="B351">
        <v>29.166666666666661</v>
      </c>
    </row>
    <row r="352" spans="1:2" x14ac:dyDescent="0.3">
      <c r="A352" t="s">
        <v>536</v>
      </c>
      <c r="B352">
        <v>0</v>
      </c>
    </row>
    <row r="353" spans="1:2" x14ac:dyDescent="0.3">
      <c r="A353" t="s">
        <v>933</v>
      </c>
      <c r="B353">
        <v>33.793103448275858</v>
      </c>
    </row>
    <row r="354" spans="1:2" x14ac:dyDescent="0.3">
      <c r="A354" t="s">
        <v>933</v>
      </c>
      <c r="B354">
        <v>48.596112311015119</v>
      </c>
    </row>
    <row r="355" spans="1:2" x14ac:dyDescent="0.3">
      <c r="A355" t="s">
        <v>519</v>
      </c>
      <c r="B355">
        <v>0</v>
      </c>
    </row>
    <row r="356" spans="1:2" x14ac:dyDescent="0.3">
      <c r="A356" t="s">
        <v>1129</v>
      </c>
      <c r="B356">
        <v>21.652421652421651</v>
      </c>
    </row>
    <row r="357" spans="1:2" x14ac:dyDescent="0.3">
      <c r="A357" t="s">
        <v>1067</v>
      </c>
      <c r="B357">
        <v>27.956989247311821</v>
      </c>
    </row>
    <row r="358" spans="1:2" x14ac:dyDescent="0.3">
      <c r="A358" t="s">
        <v>752</v>
      </c>
      <c r="B358">
        <v>28.74617737003058</v>
      </c>
    </row>
    <row r="359" spans="1:2" x14ac:dyDescent="0.3">
      <c r="A359" t="s">
        <v>537</v>
      </c>
      <c r="B359">
        <v>0</v>
      </c>
    </row>
    <row r="360" spans="1:2" x14ac:dyDescent="0.3">
      <c r="A360" t="s">
        <v>835</v>
      </c>
      <c r="B360">
        <v>35.812672176308538</v>
      </c>
    </row>
    <row r="361" spans="1:2" x14ac:dyDescent="0.3">
      <c r="A361" t="s">
        <v>1135</v>
      </c>
      <c r="B361">
        <v>26.724137931034491</v>
      </c>
    </row>
    <row r="362" spans="1:2" x14ac:dyDescent="0.3">
      <c r="A362" t="s">
        <v>1073</v>
      </c>
      <c r="B362">
        <v>42.004773269689743</v>
      </c>
    </row>
    <row r="363" spans="1:2" x14ac:dyDescent="0.3">
      <c r="A363" t="s">
        <v>1115</v>
      </c>
      <c r="B363">
        <v>16.40866873065016</v>
      </c>
    </row>
    <row r="364" spans="1:2" x14ac:dyDescent="0.3">
      <c r="A364" t="s">
        <v>964</v>
      </c>
      <c r="B364">
        <v>22.01834862385321</v>
      </c>
    </row>
    <row r="365" spans="1:2" x14ac:dyDescent="0.3">
      <c r="A365" t="s">
        <v>526</v>
      </c>
      <c r="B365">
        <v>0</v>
      </c>
    </row>
    <row r="366" spans="1:2" x14ac:dyDescent="0.3">
      <c r="A366" t="s">
        <v>1025</v>
      </c>
      <c r="B366">
        <v>19.747778733161368</v>
      </c>
    </row>
    <row r="367" spans="1:2" x14ac:dyDescent="0.3">
      <c r="A367" t="s">
        <v>723</v>
      </c>
      <c r="B367">
        <v>20.554854981084489</v>
      </c>
    </row>
    <row r="368" spans="1:2" x14ac:dyDescent="0.3">
      <c r="A368" t="s">
        <v>660</v>
      </c>
      <c r="B368">
        <v>50.943396226415103</v>
      </c>
    </row>
    <row r="369" spans="1:2" x14ac:dyDescent="0.3">
      <c r="A369" t="s">
        <v>795</v>
      </c>
      <c r="B369">
        <v>17.96322489391796</v>
      </c>
    </row>
    <row r="370" spans="1:2" x14ac:dyDescent="0.3">
      <c r="A370" t="s">
        <v>1138</v>
      </c>
      <c r="B370">
        <v>34.261838440111433</v>
      </c>
    </row>
    <row r="371" spans="1:2" x14ac:dyDescent="0.3">
      <c r="A371" t="s">
        <v>915</v>
      </c>
    </row>
    <row r="372" spans="1:2" x14ac:dyDescent="0.3">
      <c r="A372" t="s">
        <v>856</v>
      </c>
      <c r="B372">
        <v>25.257731958762889</v>
      </c>
    </row>
    <row r="373" spans="1:2" x14ac:dyDescent="0.3">
      <c r="A373" t="s">
        <v>750</v>
      </c>
    </row>
    <row r="374" spans="1:2" x14ac:dyDescent="0.3">
      <c r="A374" t="s">
        <v>692</v>
      </c>
      <c r="B374">
        <v>38.5</v>
      </c>
    </row>
    <row r="375" spans="1:2" x14ac:dyDescent="0.3">
      <c r="A375" t="s">
        <v>1102</v>
      </c>
    </row>
    <row r="376" spans="1:2" x14ac:dyDescent="0.3">
      <c r="A376" t="s">
        <v>1015</v>
      </c>
      <c r="B376">
        <v>37.689760047038376</v>
      </c>
    </row>
    <row r="377" spans="1:2" x14ac:dyDescent="0.3">
      <c r="A377" t="s">
        <v>755</v>
      </c>
      <c r="B377">
        <v>32.499999999999993</v>
      </c>
    </row>
    <row r="378" spans="1:2" x14ac:dyDescent="0.3">
      <c r="A378" t="s">
        <v>755</v>
      </c>
      <c r="B378">
        <v>32.051282051282051</v>
      </c>
    </row>
    <row r="379" spans="1:2" x14ac:dyDescent="0.3">
      <c r="A379" t="s">
        <v>796</v>
      </c>
      <c r="B379">
        <v>30.136986301369859</v>
      </c>
    </row>
    <row r="380" spans="1:2" x14ac:dyDescent="0.3">
      <c r="A380" t="s">
        <v>796</v>
      </c>
      <c r="B380">
        <v>30.26315789473685</v>
      </c>
    </row>
    <row r="381" spans="1:2" x14ac:dyDescent="0.3">
      <c r="A381" t="s">
        <v>617</v>
      </c>
      <c r="B381">
        <v>37</v>
      </c>
    </row>
    <row r="382" spans="1:2" x14ac:dyDescent="0.3">
      <c r="A382" t="s">
        <v>797</v>
      </c>
      <c r="B382">
        <v>32.432432432432442</v>
      </c>
    </row>
    <row r="383" spans="1:2" x14ac:dyDescent="0.3">
      <c r="A383" t="s">
        <v>797</v>
      </c>
    </row>
    <row r="384" spans="1:2" x14ac:dyDescent="0.3">
      <c r="A384" t="s">
        <v>998</v>
      </c>
      <c r="B384">
        <v>27.68079800498753</v>
      </c>
    </row>
    <row r="385" spans="1:2" x14ac:dyDescent="0.3">
      <c r="A385" t="s">
        <v>761</v>
      </c>
      <c r="B385">
        <v>54.913294797687861</v>
      </c>
    </row>
    <row r="386" spans="1:2" x14ac:dyDescent="0.3">
      <c r="A386" t="s">
        <v>839</v>
      </c>
      <c r="B386">
        <v>41.717791411042953</v>
      </c>
    </row>
    <row r="387" spans="1:2" x14ac:dyDescent="0.3">
      <c r="A387" t="s">
        <v>527</v>
      </c>
      <c r="B387">
        <v>0</v>
      </c>
    </row>
    <row r="388" spans="1:2" x14ac:dyDescent="0.3">
      <c r="A388" t="s">
        <v>836</v>
      </c>
      <c r="B388">
        <v>100</v>
      </c>
    </row>
    <row r="389" spans="1:2" x14ac:dyDescent="0.3">
      <c r="A389" t="s">
        <v>740</v>
      </c>
    </row>
    <row r="390" spans="1:2" x14ac:dyDescent="0.3">
      <c r="A390" t="s">
        <v>618</v>
      </c>
      <c r="B390">
        <v>33.448275862068968</v>
      </c>
    </row>
    <row r="391" spans="1:2" x14ac:dyDescent="0.3">
      <c r="A391" t="s">
        <v>877</v>
      </c>
      <c r="B391">
        <v>44.619422572178479</v>
      </c>
    </row>
    <row r="392" spans="1:2" x14ac:dyDescent="0.3">
      <c r="A392" t="s">
        <v>877</v>
      </c>
      <c r="B392">
        <v>28.763440860215049</v>
      </c>
    </row>
    <row r="393" spans="1:2" x14ac:dyDescent="0.3">
      <c r="A393" t="s">
        <v>1027</v>
      </c>
      <c r="B393">
        <v>42.352941176470587</v>
      </c>
    </row>
    <row r="394" spans="1:2" x14ac:dyDescent="0.3">
      <c r="A394" t="s">
        <v>1125</v>
      </c>
      <c r="B394">
        <v>35.833333333333329</v>
      </c>
    </row>
    <row r="395" spans="1:2" x14ac:dyDescent="0.3">
      <c r="A395" t="s">
        <v>802</v>
      </c>
    </row>
    <row r="396" spans="1:2" x14ac:dyDescent="0.3">
      <c r="A396" t="s">
        <v>1153</v>
      </c>
      <c r="B396">
        <v>48.22485207100592</v>
      </c>
    </row>
    <row r="397" spans="1:2" x14ac:dyDescent="0.3">
      <c r="A397" t="s">
        <v>886</v>
      </c>
      <c r="B397">
        <v>26.027397260273979</v>
      </c>
    </row>
    <row r="398" spans="1:2" x14ac:dyDescent="0.3">
      <c r="A398" t="s">
        <v>645</v>
      </c>
      <c r="B398">
        <v>34.81481481481481</v>
      </c>
    </row>
    <row r="399" spans="1:2" x14ac:dyDescent="0.3">
      <c r="A399" t="s">
        <v>869</v>
      </c>
      <c r="B399">
        <v>65.923566878980893</v>
      </c>
    </row>
    <row r="400" spans="1:2" x14ac:dyDescent="0.3">
      <c r="A400" t="s">
        <v>637</v>
      </c>
      <c r="B400">
        <v>30.41566204278741</v>
      </c>
    </row>
    <row r="401" spans="1:2" x14ac:dyDescent="0.3">
      <c r="A401" t="s">
        <v>989</v>
      </c>
      <c r="B401">
        <v>44.8</v>
      </c>
    </row>
    <row r="402" spans="1:2" x14ac:dyDescent="0.3">
      <c r="A402" t="s">
        <v>827</v>
      </c>
      <c r="B402">
        <v>80.926916221033878</v>
      </c>
    </row>
    <row r="403" spans="1:2" x14ac:dyDescent="0.3">
      <c r="A403" t="s">
        <v>827</v>
      </c>
      <c r="B403">
        <v>37.610429539714708</v>
      </c>
    </row>
    <row r="404" spans="1:2" x14ac:dyDescent="0.3">
      <c r="A404" t="s">
        <v>540</v>
      </c>
      <c r="B404">
        <v>0</v>
      </c>
    </row>
    <row r="405" spans="1:2" x14ac:dyDescent="0.3">
      <c r="A405" t="s">
        <v>540</v>
      </c>
      <c r="B405">
        <v>33.922261484098939</v>
      </c>
    </row>
    <row r="406" spans="1:2" x14ac:dyDescent="0.3">
      <c r="A406" t="s">
        <v>496</v>
      </c>
      <c r="B406">
        <v>100</v>
      </c>
    </row>
    <row r="407" spans="1:2" x14ac:dyDescent="0.3">
      <c r="A407" t="s">
        <v>1130</v>
      </c>
      <c r="B407">
        <v>41.160372194854958</v>
      </c>
    </row>
    <row r="408" spans="1:2" x14ac:dyDescent="0.3">
      <c r="A408" t="s">
        <v>891</v>
      </c>
      <c r="B408">
        <v>29.487179487179478</v>
      </c>
    </row>
    <row r="409" spans="1:2" x14ac:dyDescent="0.3">
      <c r="A409" t="s">
        <v>1011</v>
      </c>
      <c r="B409">
        <v>27.28818202533137</v>
      </c>
    </row>
    <row r="410" spans="1:2" x14ac:dyDescent="0.3">
      <c r="A410" t="s">
        <v>901</v>
      </c>
      <c r="B410">
        <v>34.365975321606733</v>
      </c>
    </row>
    <row r="411" spans="1:2" x14ac:dyDescent="0.3">
      <c r="A411" t="s">
        <v>1106</v>
      </c>
      <c r="B411">
        <v>94.954453717340314</v>
      </c>
    </row>
    <row r="412" spans="1:2" x14ac:dyDescent="0.3">
      <c r="A412" t="s">
        <v>552</v>
      </c>
      <c r="B412">
        <v>25.57377049180328</v>
      </c>
    </row>
    <row r="413" spans="1:2" x14ac:dyDescent="0.3">
      <c r="A413" t="s">
        <v>848</v>
      </c>
      <c r="B413">
        <v>33.802816901408448</v>
      </c>
    </row>
    <row r="414" spans="1:2" x14ac:dyDescent="0.3">
      <c r="A414" t="s">
        <v>1142</v>
      </c>
      <c r="B414">
        <v>50.726978998384503</v>
      </c>
    </row>
    <row r="415" spans="1:2" x14ac:dyDescent="0.3">
      <c r="A415" t="s">
        <v>717</v>
      </c>
      <c r="B415">
        <v>35.492364402317008</v>
      </c>
    </row>
    <row r="416" spans="1:2" x14ac:dyDescent="0.3">
      <c r="A416" t="s">
        <v>717</v>
      </c>
      <c r="B416">
        <v>33.800623052959502</v>
      </c>
    </row>
    <row r="417" spans="1:2" x14ac:dyDescent="0.3">
      <c r="A417" t="s">
        <v>717</v>
      </c>
      <c r="B417">
        <v>48.074974670719349</v>
      </c>
    </row>
    <row r="418" spans="1:2" x14ac:dyDescent="0.3">
      <c r="A418" t="s">
        <v>924</v>
      </c>
      <c r="B418">
        <v>31.157635467980288</v>
      </c>
    </row>
    <row r="419" spans="1:2" x14ac:dyDescent="0.3">
      <c r="A419" t="s">
        <v>858</v>
      </c>
      <c r="B419">
        <v>66.589861751152071</v>
      </c>
    </row>
    <row r="420" spans="1:2" x14ac:dyDescent="0.3">
      <c r="A420" t="s">
        <v>970</v>
      </c>
      <c r="B420">
        <v>42.682926829268297</v>
      </c>
    </row>
    <row r="421" spans="1:2" x14ac:dyDescent="0.3">
      <c r="A421" t="s">
        <v>512</v>
      </c>
      <c r="B421">
        <v>48.853944562899777</v>
      </c>
    </row>
    <row r="422" spans="1:2" x14ac:dyDescent="0.3">
      <c r="A422" t="s">
        <v>1144</v>
      </c>
      <c r="B422">
        <v>24.033149171270718</v>
      </c>
    </row>
    <row r="423" spans="1:2" x14ac:dyDescent="0.3">
      <c r="A423" t="s">
        <v>971</v>
      </c>
      <c r="B423">
        <v>42.857142857142861</v>
      </c>
    </row>
    <row r="424" spans="1:2" x14ac:dyDescent="0.3">
      <c r="A424" t="s">
        <v>781</v>
      </c>
      <c r="B424">
        <v>33.997844827586214</v>
      </c>
    </row>
    <row r="425" spans="1:2" x14ac:dyDescent="0.3">
      <c r="A425" t="s">
        <v>1151</v>
      </c>
      <c r="B425">
        <v>41.324392288348697</v>
      </c>
    </row>
    <row r="426" spans="1:2" x14ac:dyDescent="0.3">
      <c r="A426" t="s">
        <v>499</v>
      </c>
      <c r="B426">
        <v>0</v>
      </c>
    </row>
    <row r="427" spans="1:2" x14ac:dyDescent="0.3">
      <c r="A427" t="s">
        <v>953</v>
      </c>
      <c r="B427">
        <v>38.917975567190219</v>
      </c>
    </row>
    <row r="428" spans="1:2" x14ac:dyDescent="0.3">
      <c r="A428" t="s">
        <v>1022</v>
      </c>
      <c r="B428">
        <v>35.943060498220639</v>
      </c>
    </row>
    <row r="429" spans="1:2" x14ac:dyDescent="0.3">
      <c r="A429" t="s">
        <v>787</v>
      </c>
      <c r="B429">
        <v>50.712250712250707</v>
      </c>
    </row>
    <row r="430" spans="1:2" x14ac:dyDescent="0.3">
      <c r="A430" t="s">
        <v>509</v>
      </c>
      <c r="B430">
        <v>0</v>
      </c>
    </row>
    <row r="431" spans="1:2" x14ac:dyDescent="0.3">
      <c r="A431" t="s">
        <v>830</v>
      </c>
      <c r="B431">
        <v>40.691489361702118</v>
      </c>
    </row>
    <row r="432" spans="1:2" x14ac:dyDescent="0.3">
      <c r="A432" t="s">
        <v>756</v>
      </c>
      <c r="B432">
        <v>46.829268292682933</v>
      </c>
    </row>
    <row r="433" spans="1:2" x14ac:dyDescent="0.3">
      <c r="A433" t="s">
        <v>757</v>
      </c>
      <c r="B433">
        <v>32.87671232876712</v>
      </c>
    </row>
    <row r="437" spans="1:2" x14ac:dyDescent="0.3">
      <c r="B437">
        <v>25.804416403785488</v>
      </c>
    </row>
  </sheetData>
  <sortState xmlns:xlrd2="http://schemas.microsoft.com/office/spreadsheetml/2017/richdata2" ref="A2:B441">
    <sortCondition ref="A1:A44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9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1159</v>
      </c>
      <c r="C1" s="1" t="s">
        <v>1160</v>
      </c>
      <c r="D1" s="1" t="s">
        <v>1161</v>
      </c>
    </row>
    <row r="2" spans="1:4" x14ac:dyDescent="0.3">
      <c r="A2" t="s">
        <v>66</v>
      </c>
    </row>
    <row r="3" spans="1:4" x14ac:dyDescent="0.3">
      <c r="A3" t="s">
        <v>71</v>
      </c>
    </row>
    <row r="4" spans="1:4" x14ac:dyDescent="0.3">
      <c r="A4" t="s">
        <v>72</v>
      </c>
    </row>
    <row r="5" spans="1:4" x14ac:dyDescent="0.3">
      <c r="A5" t="s">
        <v>73</v>
      </c>
    </row>
    <row r="6" spans="1:4" x14ac:dyDescent="0.3">
      <c r="A6" t="s">
        <v>74</v>
      </c>
    </row>
    <row r="7" spans="1:4" x14ac:dyDescent="0.3">
      <c r="A7" t="s">
        <v>75</v>
      </c>
    </row>
    <row r="8" spans="1:4" x14ac:dyDescent="0.3">
      <c r="A8" t="s">
        <v>76</v>
      </c>
    </row>
    <row r="9" spans="1:4" x14ac:dyDescent="0.3">
      <c r="A9" t="s">
        <v>77</v>
      </c>
    </row>
    <row r="10" spans="1:4" x14ac:dyDescent="0.3">
      <c r="A10" t="s">
        <v>78</v>
      </c>
    </row>
    <row r="11" spans="1:4" x14ac:dyDescent="0.3">
      <c r="A11" t="s">
        <v>79</v>
      </c>
    </row>
    <row r="12" spans="1:4" x14ac:dyDescent="0.3">
      <c r="A12" t="s">
        <v>80</v>
      </c>
    </row>
    <row r="13" spans="1:4" x14ac:dyDescent="0.3">
      <c r="A13" t="s">
        <v>81</v>
      </c>
    </row>
    <row r="14" spans="1:4" x14ac:dyDescent="0.3">
      <c r="A14" t="s">
        <v>82</v>
      </c>
    </row>
    <row r="15" spans="1:4" x14ac:dyDescent="0.3">
      <c r="A15" t="s">
        <v>83</v>
      </c>
    </row>
    <row r="16" spans="1:4" x14ac:dyDescent="0.3">
      <c r="A16" t="s">
        <v>84</v>
      </c>
    </row>
    <row r="17" spans="1:1" x14ac:dyDescent="0.3">
      <c r="A17" t="s">
        <v>85</v>
      </c>
    </row>
    <row r="18" spans="1:1" x14ac:dyDescent="0.3">
      <c r="A18" t="s">
        <v>86</v>
      </c>
    </row>
    <row r="19" spans="1:1" x14ac:dyDescent="0.3">
      <c r="A19" t="s">
        <v>87</v>
      </c>
    </row>
    <row r="20" spans="1:1" x14ac:dyDescent="0.3">
      <c r="A20" t="s">
        <v>88</v>
      </c>
    </row>
    <row r="21" spans="1:1" x14ac:dyDescent="0.3">
      <c r="A21" t="s">
        <v>89</v>
      </c>
    </row>
    <row r="22" spans="1:1" x14ac:dyDescent="0.3">
      <c r="A22" t="s">
        <v>90</v>
      </c>
    </row>
    <row r="23" spans="1:1" x14ac:dyDescent="0.3">
      <c r="A23" t="s">
        <v>91</v>
      </c>
    </row>
    <row r="24" spans="1:1" x14ac:dyDescent="0.3">
      <c r="A24" t="s">
        <v>92</v>
      </c>
    </row>
    <row r="25" spans="1:1" x14ac:dyDescent="0.3">
      <c r="A25" t="s">
        <v>93</v>
      </c>
    </row>
    <row r="26" spans="1:1" x14ac:dyDescent="0.3">
      <c r="A26" t="s">
        <v>94</v>
      </c>
    </row>
    <row r="27" spans="1:1" x14ac:dyDescent="0.3">
      <c r="A27" t="s">
        <v>95</v>
      </c>
    </row>
    <row r="28" spans="1:1" x14ac:dyDescent="0.3">
      <c r="A28" t="s">
        <v>96</v>
      </c>
    </row>
    <row r="29" spans="1:1" x14ac:dyDescent="0.3">
      <c r="A29" t="s">
        <v>97</v>
      </c>
    </row>
    <row r="30" spans="1:1" x14ac:dyDescent="0.3">
      <c r="A30" t="s">
        <v>98</v>
      </c>
    </row>
    <row r="31" spans="1:1" x14ac:dyDescent="0.3">
      <c r="A31" t="s">
        <v>99</v>
      </c>
    </row>
    <row r="32" spans="1:1" x14ac:dyDescent="0.3">
      <c r="A32" t="s">
        <v>100</v>
      </c>
    </row>
    <row r="33" spans="1:1" x14ac:dyDescent="0.3">
      <c r="A33" t="s">
        <v>101</v>
      </c>
    </row>
    <row r="34" spans="1:1" x14ac:dyDescent="0.3">
      <c r="A34" t="s">
        <v>102</v>
      </c>
    </row>
    <row r="35" spans="1:1" x14ac:dyDescent="0.3">
      <c r="A35" t="s">
        <v>103</v>
      </c>
    </row>
    <row r="36" spans="1:1" x14ac:dyDescent="0.3">
      <c r="A36" t="s">
        <v>104</v>
      </c>
    </row>
    <row r="37" spans="1:1" x14ac:dyDescent="0.3">
      <c r="A37" t="s">
        <v>105</v>
      </c>
    </row>
    <row r="38" spans="1:1" x14ac:dyDescent="0.3">
      <c r="A38" t="s">
        <v>106</v>
      </c>
    </row>
    <row r="39" spans="1:1" x14ac:dyDescent="0.3">
      <c r="A39" t="s">
        <v>107</v>
      </c>
    </row>
    <row r="40" spans="1:1" x14ac:dyDescent="0.3">
      <c r="A40" t="s">
        <v>108</v>
      </c>
    </row>
    <row r="41" spans="1:1" x14ac:dyDescent="0.3">
      <c r="A41" t="s">
        <v>109</v>
      </c>
    </row>
    <row r="42" spans="1:1" x14ac:dyDescent="0.3">
      <c r="A42" t="s">
        <v>110</v>
      </c>
    </row>
    <row r="43" spans="1:1" x14ac:dyDescent="0.3">
      <c r="A43" t="s">
        <v>111</v>
      </c>
    </row>
    <row r="44" spans="1:1" x14ac:dyDescent="0.3">
      <c r="A44" t="s">
        <v>112</v>
      </c>
    </row>
    <row r="45" spans="1:1" x14ac:dyDescent="0.3">
      <c r="A45" t="s">
        <v>113</v>
      </c>
    </row>
    <row r="46" spans="1:1" x14ac:dyDescent="0.3">
      <c r="A46" t="s">
        <v>114</v>
      </c>
    </row>
    <row r="47" spans="1:1" x14ac:dyDescent="0.3">
      <c r="A47" t="s">
        <v>115</v>
      </c>
    </row>
    <row r="48" spans="1:1" x14ac:dyDescent="0.3">
      <c r="A48" t="s">
        <v>116</v>
      </c>
    </row>
    <row r="49" spans="1:1" x14ac:dyDescent="0.3">
      <c r="A49" t="s">
        <v>117</v>
      </c>
    </row>
    <row r="50" spans="1:1" x14ac:dyDescent="0.3">
      <c r="A50" t="s">
        <v>118</v>
      </c>
    </row>
    <row r="51" spans="1:1" x14ac:dyDescent="0.3">
      <c r="A51" t="s">
        <v>119</v>
      </c>
    </row>
    <row r="52" spans="1:1" x14ac:dyDescent="0.3">
      <c r="A52" t="s">
        <v>120</v>
      </c>
    </row>
    <row r="53" spans="1:1" x14ac:dyDescent="0.3">
      <c r="A53" t="s">
        <v>121</v>
      </c>
    </row>
    <row r="54" spans="1:1" x14ac:dyDescent="0.3">
      <c r="A54" t="s">
        <v>122</v>
      </c>
    </row>
    <row r="55" spans="1:1" x14ac:dyDescent="0.3">
      <c r="A55" t="s">
        <v>123</v>
      </c>
    </row>
    <row r="56" spans="1:1" x14ac:dyDescent="0.3">
      <c r="A56" t="s">
        <v>124</v>
      </c>
    </row>
    <row r="57" spans="1:1" x14ac:dyDescent="0.3">
      <c r="A57" t="s">
        <v>125</v>
      </c>
    </row>
    <row r="58" spans="1:1" x14ac:dyDescent="0.3">
      <c r="A58" t="s">
        <v>126</v>
      </c>
    </row>
    <row r="59" spans="1:1" x14ac:dyDescent="0.3">
      <c r="A59" t="s">
        <v>127</v>
      </c>
    </row>
    <row r="60" spans="1:1" x14ac:dyDescent="0.3">
      <c r="A60" t="s">
        <v>128</v>
      </c>
    </row>
    <row r="61" spans="1:1" x14ac:dyDescent="0.3">
      <c r="A61" t="s">
        <v>129</v>
      </c>
    </row>
    <row r="62" spans="1:1" x14ac:dyDescent="0.3">
      <c r="A62" t="s">
        <v>130</v>
      </c>
    </row>
    <row r="63" spans="1:1" x14ac:dyDescent="0.3">
      <c r="A63" t="s">
        <v>131</v>
      </c>
    </row>
    <row r="64" spans="1:1" x14ac:dyDescent="0.3">
      <c r="A64" t="s">
        <v>132</v>
      </c>
    </row>
    <row r="65" spans="1:1" x14ac:dyDescent="0.3">
      <c r="A65" t="s">
        <v>133</v>
      </c>
    </row>
    <row r="66" spans="1:1" x14ac:dyDescent="0.3">
      <c r="A66" t="s">
        <v>134</v>
      </c>
    </row>
    <row r="67" spans="1:1" x14ac:dyDescent="0.3">
      <c r="A67" t="s">
        <v>135</v>
      </c>
    </row>
    <row r="68" spans="1:1" x14ac:dyDescent="0.3">
      <c r="A68" t="s">
        <v>136</v>
      </c>
    </row>
    <row r="69" spans="1:1" x14ac:dyDescent="0.3">
      <c r="A69" t="s">
        <v>137</v>
      </c>
    </row>
    <row r="70" spans="1:1" x14ac:dyDescent="0.3">
      <c r="A70" t="s">
        <v>138</v>
      </c>
    </row>
    <row r="71" spans="1:1" x14ac:dyDescent="0.3">
      <c r="A71" t="s">
        <v>139</v>
      </c>
    </row>
    <row r="72" spans="1:1" x14ac:dyDescent="0.3">
      <c r="A72" t="s">
        <v>140</v>
      </c>
    </row>
    <row r="73" spans="1:1" x14ac:dyDescent="0.3">
      <c r="A73" t="s">
        <v>141</v>
      </c>
    </row>
    <row r="74" spans="1:1" x14ac:dyDescent="0.3">
      <c r="A74" t="s">
        <v>142</v>
      </c>
    </row>
    <row r="75" spans="1:1" x14ac:dyDescent="0.3">
      <c r="A75" t="s">
        <v>143</v>
      </c>
    </row>
    <row r="76" spans="1:1" x14ac:dyDescent="0.3">
      <c r="A76" t="s">
        <v>144</v>
      </c>
    </row>
    <row r="77" spans="1:1" x14ac:dyDescent="0.3">
      <c r="A77" t="s">
        <v>145</v>
      </c>
    </row>
    <row r="78" spans="1:1" x14ac:dyDescent="0.3">
      <c r="A78" t="s">
        <v>146</v>
      </c>
    </row>
    <row r="79" spans="1:1" x14ac:dyDescent="0.3">
      <c r="A79" t="s">
        <v>147</v>
      </c>
    </row>
    <row r="80" spans="1:1" x14ac:dyDescent="0.3">
      <c r="A80" t="s">
        <v>148</v>
      </c>
    </row>
    <row r="81" spans="1:1" x14ac:dyDescent="0.3">
      <c r="A81" t="s">
        <v>149</v>
      </c>
    </row>
    <row r="82" spans="1:1" x14ac:dyDescent="0.3">
      <c r="A82" t="s">
        <v>150</v>
      </c>
    </row>
    <row r="83" spans="1:1" x14ac:dyDescent="0.3">
      <c r="A83" t="s">
        <v>151</v>
      </c>
    </row>
    <row r="84" spans="1:1" x14ac:dyDescent="0.3">
      <c r="A84" t="s">
        <v>152</v>
      </c>
    </row>
    <row r="85" spans="1:1" x14ac:dyDescent="0.3">
      <c r="A85" t="s">
        <v>153</v>
      </c>
    </row>
    <row r="86" spans="1:1" x14ac:dyDescent="0.3">
      <c r="A86" t="s">
        <v>154</v>
      </c>
    </row>
    <row r="87" spans="1:1" x14ac:dyDescent="0.3">
      <c r="A87" t="s">
        <v>155</v>
      </c>
    </row>
    <row r="88" spans="1:1" x14ac:dyDescent="0.3">
      <c r="A88" t="s">
        <v>156</v>
      </c>
    </row>
    <row r="89" spans="1:1" x14ac:dyDescent="0.3">
      <c r="A89" t="s">
        <v>157</v>
      </c>
    </row>
    <row r="90" spans="1:1" x14ac:dyDescent="0.3">
      <c r="A90" t="s">
        <v>158</v>
      </c>
    </row>
    <row r="91" spans="1:1" x14ac:dyDescent="0.3">
      <c r="A91" t="s">
        <v>159</v>
      </c>
    </row>
    <row r="92" spans="1:1" x14ac:dyDescent="0.3">
      <c r="A92" t="s">
        <v>160</v>
      </c>
    </row>
    <row r="93" spans="1:1" x14ac:dyDescent="0.3">
      <c r="A93" t="s">
        <v>161</v>
      </c>
    </row>
    <row r="94" spans="1:1" x14ac:dyDescent="0.3">
      <c r="A94" t="s">
        <v>162</v>
      </c>
    </row>
    <row r="95" spans="1:1" x14ac:dyDescent="0.3">
      <c r="A95" t="s">
        <v>163</v>
      </c>
    </row>
    <row r="96" spans="1:1" x14ac:dyDescent="0.3">
      <c r="A96" t="s">
        <v>164</v>
      </c>
    </row>
    <row r="97" spans="1:1" x14ac:dyDescent="0.3">
      <c r="A97" t="s">
        <v>165</v>
      </c>
    </row>
    <row r="98" spans="1:1" x14ac:dyDescent="0.3">
      <c r="A98" t="s">
        <v>166</v>
      </c>
    </row>
    <row r="99" spans="1:1" x14ac:dyDescent="0.3">
      <c r="A99" t="s">
        <v>167</v>
      </c>
    </row>
    <row r="100" spans="1:1" x14ac:dyDescent="0.3">
      <c r="A100" t="s">
        <v>168</v>
      </c>
    </row>
    <row r="101" spans="1:1" x14ac:dyDescent="0.3">
      <c r="A101" t="s">
        <v>170</v>
      </c>
    </row>
    <row r="102" spans="1:1" x14ac:dyDescent="0.3">
      <c r="A102" t="s">
        <v>171</v>
      </c>
    </row>
    <row r="103" spans="1:1" x14ac:dyDescent="0.3">
      <c r="A103" t="s">
        <v>172</v>
      </c>
    </row>
    <row r="104" spans="1:1" x14ac:dyDescent="0.3">
      <c r="A104" t="s">
        <v>174</v>
      </c>
    </row>
    <row r="105" spans="1:1" x14ac:dyDescent="0.3">
      <c r="A105" t="s">
        <v>175</v>
      </c>
    </row>
    <row r="106" spans="1:1" x14ac:dyDescent="0.3">
      <c r="A106" t="s">
        <v>176</v>
      </c>
    </row>
    <row r="107" spans="1:1" x14ac:dyDescent="0.3">
      <c r="A107" t="s">
        <v>177</v>
      </c>
    </row>
    <row r="108" spans="1:1" x14ac:dyDescent="0.3">
      <c r="A108" t="s">
        <v>178</v>
      </c>
    </row>
    <row r="109" spans="1:1" x14ac:dyDescent="0.3">
      <c r="A109" t="s">
        <v>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Properties</vt:lpstr>
      <vt:lpstr>Sheet1</vt:lpstr>
      <vt:lpstr>Transactions</vt:lpstr>
      <vt:lpstr>Sheet2</vt:lpstr>
      <vt:lpstr>AcquisitionStrategy</vt:lpstr>
      <vt:lpstr>Documents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 Njuguna (Student)</cp:lastModifiedBy>
  <dcterms:created xsi:type="dcterms:W3CDTF">2026-01-30T22:10:22Z</dcterms:created>
  <dcterms:modified xsi:type="dcterms:W3CDTF">2026-02-06T20:04:29Z</dcterms:modified>
</cp:coreProperties>
</file>